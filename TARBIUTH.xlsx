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cbookpro/Downloads/andcappe_zip/Dashboard/SITO_WEB/Sito personale/portafoglio/"/>
    </mc:Choice>
  </mc:AlternateContent>
  <xr:revisionPtr revIDLastSave="0" documentId="8_{9449700B-A48E-2D49-BEB2-DC2C96EFB068}" xr6:coauthVersionLast="47" xr6:coauthVersionMax="47" xr10:uidLastSave="{00000000-0000-0000-0000-000000000000}"/>
  <bookViews>
    <workbookView xWindow="4380" yWindow="20" windowWidth="24420" windowHeight="18000" xr2:uid="{00000000-000D-0000-FFFF-FFFF00000000}"/>
  </bookViews>
  <sheets>
    <sheet name="Foglio21" sheetId="29" r:id="rId1"/>
    <sheet name="Foglio22" sheetId="30" r:id="rId2"/>
    <sheet name="Foglio1" sheetId="2" r:id="rId3"/>
    <sheet name="Foglio20" sheetId="28" r:id="rId4"/>
    <sheet name="Foglio19" sheetId="27" r:id="rId5"/>
    <sheet name="Foglio18" sheetId="26" r:id="rId6"/>
    <sheet name="Foglio15" sheetId="23" r:id="rId7"/>
    <sheet name="Foglio17" sheetId="25" r:id="rId8"/>
    <sheet name="Foglio14" sheetId="22" r:id="rId9"/>
    <sheet name="Foglio16" sheetId="24" r:id="rId10"/>
    <sheet name="Foglio11" sheetId="19" r:id="rId11"/>
    <sheet name="Foglio13" sheetId="21" r:id="rId12"/>
    <sheet name="Foglio10" sheetId="18" r:id="rId13"/>
    <sheet name="Foglio12" sheetId="20" r:id="rId14"/>
    <sheet name="Foglio6" sheetId="15" r:id="rId15"/>
    <sheet name="Foglio9" sheetId="17" r:id="rId16"/>
    <sheet name="Foglio8" sheetId="16" r:id="rId17"/>
    <sheet name="Foglio3" sheetId="12" r:id="rId18"/>
    <sheet name="Foglio5" sheetId="14" r:id="rId19"/>
    <sheet name="Foglio4" sheetId="13" r:id="rId20"/>
    <sheet name="ANALISI PORTAFOGLI" sheetId="5" r:id="rId21"/>
    <sheet name="NASDAQ100" sheetId="8" r:id="rId22"/>
    <sheet name="ETF ANDREA" sheetId="6" r:id="rId23"/>
    <sheet name="ETF VARI" sheetId="11" r:id="rId24"/>
    <sheet name="CRIPTO" sheetId="10" r:id="rId25"/>
    <sheet name="ELENCO NASDAQ E SETTORI" sheetId="4" r:id="rId26"/>
    <sheet name="portafogli" sheetId="7" r:id="rId27"/>
    <sheet name="Sheet1" sheetId="1" r:id="rId28"/>
    <sheet name="Foglio2" sheetId="3" r:id="rId29"/>
    <sheet name="Foglio7" sheetId="9" r:id="rId30"/>
  </sheets>
  <definedNames>
    <definedName name="_xlnm._FilterDatabase" localSheetId="18" hidden="1">Foglio5!$A$1:$C$87</definedName>
    <definedName name="_xlnm._FilterDatabase" localSheetId="14" hidden="1">Foglio6!$A$1:$C$64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1" l="1"/>
  <c r="E2" i="21"/>
  <c r="E3" i="21"/>
  <c r="E4" i="21"/>
  <c r="E5" i="21"/>
  <c r="E6" i="21"/>
  <c r="E7" i="21"/>
  <c r="E8" i="21"/>
  <c r="E9" i="21"/>
  <c r="E10" i="21"/>
  <c r="E11" i="21"/>
  <c r="E12" i="21"/>
  <c r="E13" i="21"/>
  <c r="E1" i="21"/>
  <c r="D14" i="21"/>
  <c r="D143" i="5"/>
  <c r="E339" i="5"/>
  <c r="E340" i="5"/>
  <c r="E341" i="5"/>
  <c r="E342" i="5"/>
  <c r="E344" i="5"/>
  <c r="E345" i="5"/>
  <c r="E346" i="5"/>
  <c r="E347" i="5"/>
  <c r="K2" i="4"/>
  <c r="K3" i="4" s="1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1" i="7"/>
  <c r="P7" i="1"/>
  <c r="P8" i="1"/>
  <c r="P9" i="1"/>
  <c r="P10" i="1"/>
  <c r="P11" i="1"/>
  <c r="P12" i="1"/>
  <c r="P13" i="1"/>
  <c r="P14" i="1"/>
  <c r="P15" i="1"/>
  <c r="P16" i="1"/>
  <c r="P17" i="1"/>
  <c r="P6" i="1"/>
  <c r="O18" i="1"/>
  <c r="A20" i="7" l="1"/>
  <c r="D10" i="7" s="1"/>
  <c r="K21" i="1"/>
  <c r="H9" i="1"/>
  <c r="J21" i="1"/>
  <c r="H23" i="1"/>
  <c r="H20" i="1"/>
  <c r="H12" i="1"/>
  <c r="H13" i="1" s="1"/>
  <c r="K202" i="3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S3" i="3"/>
  <c r="S4" i="3" s="1"/>
  <c r="S5" i="3" s="1"/>
  <c r="S6" i="3" s="1"/>
  <c r="S7" i="3" s="1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104" i="3" s="1"/>
  <c r="S105" i="3" s="1"/>
  <c r="S106" i="3" s="1"/>
  <c r="S107" i="3" s="1"/>
  <c r="S108" i="3" s="1"/>
  <c r="S109" i="3" s="1"/>
  <c r="S110" i="3" s="1"/>
  <c r="S111" i="3" s="1"/>
  <c r="S112" i="3" s="1"/>
  <c r="S113" i="3" s="1"/>
  <c r="S114" i="3" s="1"/>
  <c r="S115" i="3" s="1"/>
  <c r="S116" i="3" s="1"/>
  <c r="S117" i="3" s="1"/>
  <c r="S118" i="3" s="1"/>
  <c r="S119" i="3" s="1"/>
  <c r="S120" i="3" s="1"/>
  <c r="S121" i="3" s="1"/>
  <c r="S122" i="3" s="1"/>
  <c r="S123" i="3" s="1"/>
  <c r="S124" i="3" s="1"/>
  <c r="S125" i="3" s="1"/>
  <c r="S126" i="3" s="1"/>
  <c r="S127" i="3" s="1"/>
  <c r="S128" i="3" s="1"/>
  <c r="S129" i="3" s="1"/>
  <c r="S130" i="3" s="1"/>
  <c r="S131" i="3" s="1"/>
  <c r="S132" i="3" s="1"/>
  <c r="S133" i="3" s="1"/>
  <c r="S134" i="3" s="1"/>
  <c r="S135" i="3" s="1"/>
  <c r="S136" i="3" s="1"/>
  <c r="S137" i="3" s="1"/>
  <c r="S138" i="3" s="1"/>
  <c r="S139" i="3" s="1"/>
  <c r="S140" i="3" s="1"/>
  <c r="S141" i="3" s="1"/>
  <c r="S142" i="3" s="1"/>
  <c r="S143" i="3" s="1"/>
  <c r="S144" i="3" s="1"/>
  <c r="S145" i="3" s="1"/>
  <c r="S146" i="3" s="1"/>
  <c r="S147" i="3" s="1"/>
  <c r="S148" i="3" s="1"/>
  <c r="S149" i="3" s="1"/>
  <c r="S150" i="3" s="1"/>
  <c r="S151" i="3" s="1"/>
  <c r="S152" i="3" s="1"/>
  <c r="S153" i="3" s="1"/>
  <c r="S154" i="3" s="1"/>
  <c r="S155" i="3" s="1"/>
  <c r="S156" i="3" s="1"/>
  <c r="S157" i="3" s="1"/>
  <c r="S158" i="3" s="1"/>
  <c r="S159" i="3" s="1"/>
  <c r="S160" i="3" s="1"/>
  <c r="S161" i="3" s="1"/>
  <c r="S162" i="3" s="1"/>
  <c r="S163" i="3" s="1"/>
  <c r="S164" i="3" s="1"/>
  <c r="S165" i="3" s="1"/>
  <c r="S166" i="3" s="1"/>
  <c r="S167" i="3" s="1"/>
  <c r="S168" i="3" s="1"/>
  <c r="S169" i="3" s="1"/>
  <c r="S170" i="3" s="1"/>
  <c r="S171" i="3" s="1"/>
  <c r="S172" i="3" s="1"/>
  <c r="S173" i="3" s="1"/>
  <c r="S174" i="3" s="1"/>
  <c r="S175" i="3" s="1"/>
  <c r="S176" i="3" s="1"/>
  <c r="S177" i="3" s="1"/>
  <c r="S178" i="3" s="1"/>
  <c r="S179" i="3" s="1"/>
  <c r="S180" i="3" s="1"/>
  <c r="S181" i="3" s="1"/>
  <c r="S182" i="3" s="1"/>
  <c r="S183" i="3" s="1"/>
  <c r="S184" i="3" s="1"/>
  <c r="S185" i="3" s="1"/>
  <c r="S186" i="3" s="1"/>
  <c r="S187" i="3" s="1"/>
  <c r="S188" i="3" s="1"/>
  <c r="S189" i="3" s="1"/>
  <c r="S190" i="3" s="1"/>
  <c r="S191" i="3" s="1"/>
  <c r="S192" i="3" s="1"/>
  <c r="S193" i="3" s="1"/>
  <c r="S194" i="3" s="1"/>
  <c r="S195" i="3" s="1"/>
  <c r="S196" i="3" s="1"/>
  <c r="S197" i="3" s="1"/>
  <c r="S198" i="3" s="1"/>
  <c r="S199" i="3" s="1"/>
  <c r="S200" i="3" s="1"/>
  <c r="S201" i="3" s="1"/>
  <c r="S202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P145" i="3" s="1"/>
  <c r="P146" i="3" s="1"/>
  <c r="P147" i="3" s="1"/>
  <c r="P148" i="3" s="1"/>
  <c r="P149" i="3" s="1"/>
  <c r="P150" i="3" s="1"/>
  <c r="P151" i="3" s="1"/>
  <c r="P152" i="3" s="1"/>
  <c r="P153" i="3" s="1"/>
  <c r="P154" i="3" s="1"/>
  <c r="P155" i="3" s="1"/>
  <c r="P156" i="3" s="1"/>
  <c r="P157" i="3" s="1"/>
  <c r="P158" i="3" s="1"/>
  <c r="P159" i="3" s="1"/>
  <c r="P160" i="3" s="1"/>
  <c r="P161" i="3" s="1"/>
  <c r="P162" i="3" s="1"/>
  <c r="P163" i="3" s="1"/>
  <c r="P164" i="3" s="1"/>
  <c r="P165" i="3" s="1"/>
  <c r="P166" i="3" s="1"/>
  <c r="P167" i="3" s="1"/>
  <c r="P168" i="3" s="1"/>
  <c r="P169" i="3" s="1"/>
  <c r="P170" i="3" s="1"/>
  <c r="P171" i="3" s="1"/>
  <c r="P172" i="3" s="1"/>
  <c r="P173" i="3" s="1"/>
  <c r="P174" i="3" s="1"/>
  <c r="P175" i="3" s="1"/>
  <c r="P176" i="3" s="1"/>
  <c r="P177" i="3" s="1"/>
  <c r="P178" i="3" s="1"/>
  <c r="P179" i="3" s="1"/>
  <c r="P180" i="3" s="1"/>
  <c r="P181" i="3" s="1"/>
  <c r="P182" i="3" s="1"/>
  <c r="P183" i="3" s="1"/>
  <c r="P184" i="3" s="1"/>
  <c r="P185" i="3" s="1"/>
  <c r="P186" i="3" s="1"/>
  <c r="P187" i="3" s="1"/>
  <c r="P188" i="3" s="1"/>
  <c r="P189" i="3" s="1"/>
  <c r="P190" i="3" s="1"/>
  <c r="P191" i="3" s="1"/>
  <c r="P192" i="3" s="1"/>
  <c r="P193" i="3" s="1"/>
  <c r="P194" i="3" s="1"/>
  <c r="P195" i="3" s="1"/>
  <c r="P196" i="3" s="1"/>
  <c r="P197" i="3" s="1"/>
  <c r="P198" i="3" s="1"/>
  <c r="P199" i="3" s="1"/>
  <c r="P200" i="3" s="1"/>
  <c r="P201" i="3" s="1"/>
  <c r="P202" i="3" s="1"/>
  <c r="Q3" i="3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" i="3"/>
  <c r="K3" i="3"/>
  <c r="U3" i="3" s="1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" i="3"/>
  <c r="D17" i="7" l="1"/>
  <c r="D16" i="7"/>
  <c r="D15" i="7"/>
  <c r="D14" i="7"/>
  <c r="D13" i="7"/>
  <c r="D12" i="7"/>
  <c r="D9" i="7"/>
  <c r="D11" i="7"/>
  <c r="D18" i="7"/>
  <c r="H19" i="1"/>
  <c r="H21" i="1" s="1"/>
  <c r="H15" i="1"/>
</calcChain>
</file>

<file path=xl/sharedStrings.xml><?xml version="1.0" encoding="utf-8"?>
<sst xmlns="http://schemas.openxmlformats.org/spreadsheetml/2006/main" count="7568" uniqueCount="2729">
  <si>
    <t>Simbolo</t>
  </si>
  <si>
    <t>Description</t>
  </si>
  <si>
    <t>SUSW.MI</t>
  </si>
  <si>
    <t>SWDA.mi</t>
  </si>
  <si>
    <t>0P0001E4T5.F</t>
  </si>
  <si>
    <t>XDWT.MI</t>
  </si>
  <si>
    <t>XDWI.MI</t>
  </si>
  <si>
    <t>XDWM.MI</t>
  </si>
  <si>
    <t>XDWU.MI</t>
  </si>
  <si>
    <t>XDW0.MI</t>
  </si>
  <si>
    <t>XDWS.MI</t>
  </si>
  <si>
    <t>XDWC.MI</t>
  </si>
  <si>
    <t>XDWH.MI</t>
  </si>
  <si>
    <t>XDWF.MI</t>
  </si>
  <si>
    <t>XWTS.MI</t>
  </si>
  <si>
    <t>MTUM</t>
  </si>
  <si>
    <t>DX2J.DE</t>
  </si>
  <si>
    <t>XRS2.F</t>
  </si>
  <si>
    <t>EL4I.DE</t>
  </si>
  <si>
    <t>VWCE.MI</t>
  </si>
  <si>
    <t>ZPRV.DE</t>
  </si>
  <si>
    <t>3SUR.DE</t>
  </si>
  <si>
    <t>CBUC.DE</t>
  </si>
  <si>
    <t>MVEA.DE</t>
  </si>
  <si>
    <t>IUVE.AS</t>
  </si>
  <si>
    <t>CSUSS.MI</t>
  </si>
  <si>
    <t>QDVA.DE</t>
  </si>
  <si>
    <t>CSUS.MI</t>
  </si>
  <si>
    <t>EUR</t>
  </si>
  <si>
    <t>USD</t>
  </si>
  <si>
    <t>AZ. LARGE CAP EUR</t>
  </si>
  <si>
    <t>AZ. USA EUR</t>
  </si>
  <si>
    <t>AZ. WORLD EUR</t>
  </si>
  <si>
    <t>AZ. WORLD SRI EUR</t>
  </si>
  <si>
    <t>AZ. VANG. WORLD EUR</t>
  </si>
  <si>
    <t>AZ. FUND FID. WORLD EUR</t>
  </si>
  <si>
    <t>AZ. TECH EUR</t>
  </si>
  <si>
    <t>AZ. IND. EUR</t>
  </si>
  <si>
    <t>AZ. MAT. EUR</t>
  </si>
  <si>
    <t>AZ. UTIL. EUR</t>
  </si>
  <si>
    <t>AZ. ENERG. EUR</t>
  </si>
  <si>
    <t>AZ. BENI CONSUMO EUR</t>
  </si>
  <si>
    <t>AZ. CONS. DISC. EUR</t>
  </si>
  <si>
    <t>AZ. SAL. EUR</t>
  </si>
  <si>
    <t>AZ. FIN. EUR</t>
  </si>
  <si>
    <t>AZ. COM. EUR</t>
  </si>
  <si>
    <t>AZ. SM. CAP. EUR</t>
  </si>
  <si>
    <t>AZ. RUSSEL2000 EUR</t>
  </si>
  <si>
    <t>AZ. USA MOM. EUR</t>
  </si>
  <si>
    <t>AZ. USA MIN. VOL. EUR</t>
  </si>
  <si>
    <t>AZ. SMALL CAP USA EUR</t>
  </si>
  <si>
    <t>AZ. SM.CAP USA VAL. EUR</t>
  </si>
  <si>
    <t>AZ. USA SRI  EUR</t>
  </si>
  <si>
    <t>AZ. USA ESG ENH EUR</t>
  </si>
  <si>
    <t>0P000026CD.L</t>
  </si>
  <si>
    <t>ITALY GOV BOND</t>
  </si>
  <si>
    <t xml:space="preserve"> IITB.MI</t>
  </si>
  <si>
    <t>PURISIMA TOTAL RETURN</t>
  </si>
  <si>
    <t>PQVM.MI</t>
  </si>
  <si>
    <t>QDVE.DE</t>
  </si>
  <si>
    <t>SUAS.MI</t>
  </si>
  <si>
    <t xml:space="preserve">S&amp;P 500 QVM </t>
  </si>
  <si>
    <t xml:space="preserve">S&amp;P 500 IT </t>
  </si>
  <si>
    <t xml:space="preserve">USA SRI </t>
  </si>
  <si>
    <t>'AZ. WORLD SRI EUR'</t>
  </si>
  <si>
    <t>'PURISIMA TOTAL RETURN'</t>
  </si>
  <si>
    <t>'S&amp;P 500 QVM'</t>
  </si>
  <si>
    <t>'S&amp;P 500 IT'</t>
  </si>
  <si>
    <t>'USA SRI'</t>
  </si>
  <si>
    <t>'Eur-USD'</t>
  </si>
  <si>
    <t>'EUR-GBP'</t>
  </si>
  <si>
    <t>'AZNAX'</t>
  </si>
  <si>
    <t>'Allianz incoma AUSD'</t>
  </si>
  <si>
    <t>PURISIMA EURO</t>
  </si>
  <si>
    <t>ALLIANZ EURO</t>
  </si>
  <si>
    <t>PURISIMA GBP</t>
  </si>
  <si>
    <t>NVDA</t>
  </si>
  <si>
    <t>NVIDIA CORP</t>
  </si>
  <si>
    <t>IT</t>
  </si>
  <si>
    <t>Azionario</t>
  </si>
  <si>
    <t>USD 446.035.079</t>
  </si>
  <si>
    <t>US67066G1040</t>
  </si>
  <si>
    <t>HD</t>
  </si>
  <si>
    <t>HOME DEPOT INC</t>
  </si>
  <si>
    <t>Consumi Discrezionali</t>
  </si>
  <si>
    <t>USD 428.582.759</t>
  </si>
  <si>
    <t>US4370761029</t>
  </si>
  <si>
    <t>MSFT</t>
  </si>
  <si>
    <t>MICROSOFT CORP</t>
  </si>
  <si>
    <t>USD 403.360.918</t>
  </si>
  <si>
    <t>US5949181045</t>
  </si>
  <si>
    <t>KO</t>
  </si>
  <si>
    <t>COCA-COLA</t>
  </si>
  <si>
    <t>Generi di largo consumo</t>
  </si>
  <si>
    <t>USD 318.991.554</t>
  </si>
  <si>
    <t>US1912161007</t>
  </si>
  <si>
    <t>PEP</t>
  </si>
  <si>
    <t>PEPSICO INC</t>
  </si>
  <si>
    <t>USD 305.715.117</t>
  </si>
  <si>
    <t>US7134481081</t>
  </si>
  <si>
    <t>TSLA</t>
  </si>
  <si>
    <t>TESLA INC</t>
  </si>
  <si>
    <t>USD 276.467.450</t>
  </si>
  <si>
    <t>US88160R1014</t>
  </si>
  <si>
    <t>DIS</t>
  </si>
  <si>
    <t>WALT DISNEY</t>
  </si>
  <si>
    <t>Comunicazione</t>
  </si>
  <si>
    <t>USD 229.353.075</t>
  </si>
  <si>
    <t>US2546871060</t>
  </si>
  <si>
    <t>TXN</t>
  </si>
  <si>
    <t>TEXAS INSTRUMENT INC</t>
  </si>
  <si>
    <t>USD 207.058.540</t>
  </si>
  <si>
    <t>US8825081040</t>
  </si>
  <si>
    <t>ADBE</t>
  </si>
  <si>
    <t>ADOBE INC</t>
  </si>
  <si>
    <t>USD 204.016.222</t>
  </si>
  <si>
    <t>US00724F1012</t>
  </si>
  <si>
    <t>AMGN</t>
  </si>
  <si>
    <t>AMGEN INC</t>
  </si>
  <si>
    <t>Salute</t>
  </si>
  <si>
    <t>USD 184.059.033</t>
  </si>
  <si>
    <t>US0311621009</t>
  </si>
  <si>
    <t>CAT</t>
  </si>
  <si>
    <t>CATERPILLAR INC</t>
  </si>
  <si>
    <t>Industriali</t>
  </si>
  <si>
    <t>USD 172.889.322</t>
  </si>
  <si>
    <t>US1491231015</t>
  </si>
  <si>
    <t>LOW</t>
  </si>
  <si>
    <t>LOWES COMPANIES INC</t>
  </si>
  <si>
    <t>USD 166.861.718</t>
  </si>
  <si>
    <t>US5486611073</t>
  </si>
  <si>
    <t>SPGI</t>
  </si>
  <si>
    <t>S&amp;P GLOBAL INC</t>
  </si>
  <si>
    <t>Finanziari</t>
  </si>
  <si>
    <t>USD 157.544.866</t>
  </si>
  <si>
    <t>US78409V1044</t>
  </si>
  <si>
    <t>ELV</t>
  </si>
  <si>
    <t>ELEVANCE HEALTH INC</t>
  </si>
  <si>
    <t>USD 146.498.730</t>
  </si>
  <si>
    <t>US0367521038</t>
  </si>
  <si>
    <t>BLK</t>
  </si>
  <si>
    <t>BLACKROCK INC</t>
  </si>
  <si>
    <t>USD 143.007.021</t>
  </si>
  <si>
    <t>US09247X1019</t>
  </si>
  <si>
    <t>AMT</t>
  </si>
  <si>
    <t>AMERICAN TOWER REIT CORP</t>
  </si>
  <si>
    <t>Immobili</t>
  </si>
  <si>
    <t>USD 136.862.248</t>
  </si>
  <si>
    <t>US03027X1000</t>
  </si>
  <si>
    <t>GILD</t>
  </si>
  <si>
    <t>GILEAD SCIENCES INC</t>
  </si>
  <si>
    <t>USD 136.459.988</t>
  </si>
  <si>
    <t>US3755581036</t>
  </si>
  <si>
    <t>ADP</t>
  </si>
  <si>
    <t>AUTOMATIC DATA PROCESSING INC</t>
  </si>
  <si>
    <t>USD 128.706.532</t>
  </si>
  <si>
    <t>US0530151036</t>
  </si>
  <si>
    <t>AXP</t>
  </si>
  <si>
    <t>AMERICAN EXPRESS</t>
  </si>
  <si>
    <t>USD 125.348.327</t>
  </si>
  <si>
    <t>US0258161092</t>
  </si>
  <si>
    <t>CI</t>
  </si>
  <si>
    <t>CIGNA CORP</t>
  </si>
  <si>
    <t>USD 120.624.905</t>
  </si>
  <si>
    <t>US1255231003</t>
  </si>
  <si>
    <t>CB</t>
  </si>
  <si>
    <t>CHUBB LTD</t>
  </si>
  <si>
    <t>USD 119.830.457</t>
  </si>
  <si>
    <t>CH0044328745</t>
  </si>
  <si>
    <t>MMC</t>
  </si>
  <si>
    <t>MARSH &amp; MCLENNAN INC</t>
  </si>
  <si>
    <t>USD 109.309.675</t>
  </si>
  <si>
    <t>US5717481023</t>
  </si>
  <si>
    <t>VRTX</t>
  </si>
  <si>
    <t>VERTEX PHARMACEUTICALS INC</t>
  </si>
  <si>
    <t>USD 97.555.118</t>
  </si>
  <si>
    <t>US92532F1003</t>
  </si>
  <si>
    <t>TGT</t>
  </si>
  <si>
    <t>TARGET CORP</t>
  </si>
  <si>
    <t>USD 95.799.998</t>
  </si>
  <si>
    <t>US87612E1064</t>
  </si>
  <si>
    <t>ZTS</t>
  </si>
  <si>
    <t>ZOETIS INC CLASS A</t>
  </si>
  <si>
    <t>USD 95.262.226</t>
  </si>
  <si>
    <t>US98978V1035</t>
  </si>
  <si>
    <t>BDX</t>
  </si>
  <si>
    <t>BECTON DICKINSON</t>
  </si>
  <si>
    <t>USD 92.246.973</t>
  </si>
  <si>
    <t>US0758871091</t>
  </si>
  <si>
    <t>ITW</t>
  </si>
  <si>
    <t>ILLINOIS TOOL INC</t>
  </si>
  <si>
    <t>USD 91.322.556</t>
  </si>
  <si>
    <t>US4523081093</t>
  </si>
  <si>
    <t>PNC</t>
  </si>
  <si>
    <t>PNC FINANCIAL SERVICES GROUP INC</t>
  </si>
  <si>
    <t>USD 85.093.204</t>
  </si>
  <si>
    <t>US6934751057</t>
  </si>
  <si>
    <t>EQIX</t>
  </si>
  <si>
    <t>EQUINIX REIT INC</t>
  </si>
  <si>
    <t>USD 83.161.006</t>
  </si>
  <si>
    <t>US29444U7000</t>
  </si>
  <si>
    <t>TFC</t>
  </si>
  <si>
    <t>TRUIST FINANCIAL CORP</t>
  </si>
  <si>
    <t>USD 79.868.603</t>
  </si>
  <si>
    <t>US89832Q1094</t>
  </si>
  <si>
    <t>CME</t>
  </si>
  <si>
    <t>CME GROUP INC CLASS A</t>
  </si>
  <si>
    <t>USD 79.856.873</t>
  </si>
  <si>
    <t>US12572Q1058</t>
  </si>
  <si>
    <t>HUM</t>
  </si>
  <si>
    <t>HUMANA INC</t>
  </si>
  <si>
    <t>USD 78.680.985</t>
  </si>
  <si>
    <t>US4448591028</t>
  </si>
  <si>
    <t>CL</t>
  </si>
  <si>
    <t>COLGATE-PALMOLIVE</t>
  </si>
  <si>
    <t>USD 78.034.193</t>
  </si>
  <si>
    <t>US1941621039</t>
  </si>
  <si>
    <t>HCA</t>
  </si>
  <si>
    <t>HCA HEALTHCARE INC</t>
  </si>
  <si>
    <t>USD 75.258.428</t>
  </si>
  <si>
    <t>US40412C1018</t>
  </si>
  <si>
    <t>VLO</t>
  </si>
  <si>
    <t>VALERO ENERGY CORP</t>
  </si>
  <si>
    <t>Energia</t>
  </si>
  <si>
    <t>USD 68.336.852</t>
  </si>
  <si>
    <t>US91913Y1001</t>
  </si>
  <si>
    <t>MCO</t>
  </si>
  <si>
    <t>MOODYS CORP</t>
  </si>
  <si>
    <t>USD 65.829.871</t>
  </si>
  <si>
    <t>US6153691059</t>
  </si>
  <si>
    <t>PSX</t>
  </si>
  <si>
    <t>PHILLIPS 66</t>
  </si>
  <si>
    <t>USD 62.786.173</t>
  </si>
  <si>
    <t>US7185461040</t>
  </si>
  <si>
    <t>GIS</t>
  </si>
  <si>
    <t>GENERAL MILLS INC</t>
  </si>
  <si>
    <t>USD 62.239.603</t>
  </si>
  <si>
    <t>US3703341046</t>
  </si>
  <si>
    <t>EW</t>
  </si>
  <si>
    <t>EDWARDS LIFESCIENCES CORP</t>
  </si>
  <si>
    <t>USD 61.802.565</t>
  </si>
  <si>
    <t>US28176E1082</t>
  </si>
  <si>
    <t>JCI</t>
  </si>
  <si>
    <t>JOHNSON CONTROLS INTERNATIONAL PLC</t>
  </si>
  <si>
    <t>USD 60.377.057</t>
  </si>
  <si>
    <t>IE00BY7QL619</t>
  </si>
  <si>
    <t>A</t>
  </si>
  <si>
    <t>AGILENT TECHNOLOGIES INC</t>
  </si>
  <si>
    <t>USD 59.152.249</t>
  </si>
  <si>
    <t>US00846U1016</t>
  </si>
  <si>
    <t>KMB</t>
  </si>
  <si>
    <t>KIMBERLY CLARK CORP</t>
  </si>
  <si>
    <t>USD 58.800.366</t>
  </si>
  <si>
    <t>US4943681035</t>
  </si>
  <si>
    <t>TRV</t>
  </si>
  <si>
    <t>TRAVELERS COMPANIES INC</t>
  </si>
  <si>
    <t>USD 58.601.654</t>
  </si>
  <si>
    <t>US89417E1091</t>
  </si>
  <si>
    <t>CNC</t>
  </si>
  <si>
    <t>CENTENE CORP</t>
  </si>
  <si>
    <t>USD 56.042.594</t>
  </si>
  <si>
    <t>US15135B1017</t>
  </si>
  <si>
    <t>NEM</t>
  </si>
  <si>
    <t>NEWMONT</t>
  </si>
  <si>
    <t>Materiali</t>
  </si>
  <si>
    <t>USD 55.031.114</t>
  </si>
  <si>
    <t>US6516391066</t>
  </si>
  <si>
    <t>TT</t>
  </si>
  <si>
    <t>TRANE TECHNOLOGIES PLC</t>
  </si>
  <si>
    <t>USD 53.900.106</t>
  </si>
  <si>
    <t>IE00BK9ZQ967</t>
  </si>
  <si>
    <t>BIIB</t>
  </si>
  <si>
    <t>BIOGEN INC</t>
  </si>
  <si>
    <t>USD 53.038.821</t>
  </si>
  <si>
    <t>US09062X1037</t>
  </si>
  <si>
    <t>NUE</t>
  </si>
  <si>
    <t>NUCOR CORP</t>
  </si>
  <si>
    <t>USD 51.868.279</t>
  </si>
  <si>
    <t>US6703461052</t>
  </si>
  <si>
    <t>IDXX</t>
  </si>
  <si>
    <t>IDEXX LABORATORIES INC</t>
  </si>
  <si>
    <t>USD 50.680.436</t>
  </si>
  <si>
    <t>US45168D1046</t>
  </si>
  <si>
    <t>ECL</t>
  </si>
  <si>
    <t>ECOLAB INC</t>
  </si>
  <si>
    <t>USD 49.822.670</t>
  </si>
  <si>
    <t>US2788651006</t>
  </si>
  <si>
    <t>KMI</t>
  </si>
  <si>
    <t>KINDER MORGAN INC</t>
  </si>
  <si>
    <t>USD 48.763.838</t>
  </si>
  <si>
    <t>US49456B1017</t>
  </si>
  <si>
    <t>HAL</t>
  </si>
  <si>
    <t>HALLIBURTON</t>
  </si>
  <si>
    <t>USD 48.656.802</t>
  </si>
  <si>
    <t>US4062161017</t>
  </si>
  <si>
    <t>CARR</t>
  </si>
  <si>
    <t>CARRIER GLOBAL CORP</t>
  </si>
  <si>
    <t>USD 48.548.074</t>
  </si>
  <si>
    <t>US14448C1045</t>
  </si>
  <si>
    <t>BK</t>
  </si>
  <si>
    <t>BANK OF NEW YORK MELLON CORP</t>
  </si>
  <si>
    <t>USD 47.335.915</t>
  </si>
  <si>
    <t>US0640581007</t>
  </si>
  <si>
    <t>PRU</t>
  </si>
  <si>
    <t>PRUDENTIAL FINANCIAL INC</t>
  </si>
  <si>
    <t>USD 47.251.638</t>
  </si>
  <si>
    <t>US7443201022</t>
  </si>
  <si>
    <t>HLT</t>
  </si>
  <si>
    <t>HILTON WORLDWIDE HOLDINGS INC</t>
  </si>
  <si>
    <t>USD 47.216.345</t>
  </si>
  <si>
    <t>US43300A2033</t>
  </si>
  <si>
    <t>AMP</t>
  </si>
  <si>
    <t>AMERIPRISE FINANCE INC</t>
  </si>
  <si>
    <t>USD 45.324.474</t>
  </si>
  <si>
    <t>US03076C1062</t>
  </si>
  <si>
    <t>CMI</t>
  </si>
  <si>
    <t>CUMMINS INC</t>
  </si>
  <si>
    <t>USD 44.816.320</t>
  </si>
  <si>
    <t>US2310211063</t>
  </si>
  <si>
    <t>LNG</t>
  </si>
  <si>
    <t>CHENIERE ENERGY INC</t>
  </si>
  <si>
    <t>USD 44.256.020</t>
  </si>
  <si>
    <t>US16411R2085</t>
  </si>
  <si>
    <t>MTD</t>
  </si>
  <si>
    <t>METTLER TOLEDO INC</t>
  </si>
  <si>
    <t>USD 44.144.370</t>
  </si>
  <si>
    <t>US5926881054</t>
  </si>
  <si>
    <t>OTIS</t>
  </si>
  <si>
    <t>OTIS WORLDWIDE CORP</t>
  </si>
  <si>
    <t>USD 43.995.627</t>
  </si>
  <si>
    <t>US68902V1070</t>
  </si>
  <si>
    <t>EA</t>
  </si>
  <si>
    <t>ELECTRONIC ARTS INC</t>
  </si>
  <si>
    <t>USD 43.867.842</t>
  </si>
  <si>
    <t>US2855121099</t>
  </si>
  <si>
    <t>ED</t>
  </si>
  <si>
    <t>CONSOLIDATED EDISON INC</t>
  </si>
  <si>
    <t>Imprese di servizi di pubblica utilità</t>
  </si>
  <si>
    <t>USD 43.030.198</t>
  </si>
  <si>
    <t>US2091151041</t>
  </si>
  <si>
    <t>ROK</t>
  </si>
  <si>
    <t>ROCKWELL AUTOMATION INC</t>
  </si>
  <si>
    <t>USD 41.925.431</t>
  </si>
  <si>
    <t>US7739031091</t>
  </si>
  <si>
    <t>WELL</t>
  </si>
  <si>
    <t>WELLTOWER</t>
  </si>
  <si>
    <t>USD 41.463.018</t>
  </si>
  <si>
    <t>US95040Q1040</t>
  </si>
  <si>
    <t>BKR</t>
  </si>
  <si>
    <t>BAKER HUGHES CLASS A</t>
  </si>
  <si>
    <t>USD 40.732.260</t>
  </si>
  <si>
    <t>US05722G1004</t>
  </si>
  <si>
    <t>OKE</t>
  </si>
  <si>
    <t>ONEOK INC</t>
  </si>
  <si>
    <t>USD 40.552.017</t>
  </si>
  <si>
    <t>US6826801036</t>
  </si>
  <si>
    <t>ILMN</t>
  </si>
  <si>
    <t>ILLUMINA INC</t>
  </si>
  <si>
    <t>USD 40.541.162</t>
  </si>
  <si>
    <t>US4523271090</t>
  </si>
  <si>
    <t>RMD</t>
  </si>
  <si>
    <t>RESMED INC</t>
  </si>
  <si>
    <t>USD 40.158.099</t>
  </si>
  <si>
    <t>US7611521078</t>
  </si>
  <si>
    <t>PPG</t>
  </si>
  <si>
    <t>PPG INDUSTRIES INC</t>
  </si>
  <si>
    <t>USD 39.590.778</t>
  </si>
  <si>
    <t>US6935061076</t>
  </si>
  <si>
    <t>ODFL</t>
  </si>
  <si>
    <t>OLD DOMINION FREIGHT LINE INC</t>
  </si>
  <si>
    <t>USD 37.691.893</t>
  </si>
  <si>
    <t>US6795801009</t>
  </si>
  <si>
    <t>ES</t>
  </si>
  <si>
    <t>EVERSOURCE ENERGY</t>
  </si>
  <si>
    <t>USD 37.297.906</t>
  </si>
  <si>
    <t>US30040W1080</t>
  </si>
  <si>
    <t>IFF</t>
  </si>
  <si>
    <t>INTERNATIONAL FLAVORS &amp; FRAGRANCES</t>
  </si>
  <si>
    <t>USD 37.274.565</t>
  </si>
  <si>
    <t>US4595061015</t>
  </si>
  <si>
    <t>AWK</t>
  </si>
  <si>
    <t>AMERICAN WATER WORKS INC</t>
  </si>
  <si>
    <t>USD 36.316.570</t>
  </si>
  <si>
    <t>US0304201033</t>
  </si>
  <si>
    <t>RSG</t>
  </si>
  <si>
    <t>REPUBLIC SERVICES INC</t>
  </si>
  <si>
    <t>USD 35.395.949</t>
  </si>
  <si>
    <t>US7607591002</t>
  </si>
  <si>
    <t>FAST</t>
  </si>
  <si>
    <t>FASTENAL</t>
  </si>
  <si>
    <t>USD 35.278.357</t>
  </si>
  <si>
    <t>US3119001044</t>
  </si>
  <si>
    <t>KDP</t>
  </si>
  <si>
    <t>KEURIG DR PEPPER INC</t>
  </si>
  <si>
    <t>USD 34.953.537</t>
  </si>
  <si>
    <t>US49271V1008</t>
  </si>
  <si>
    <t>CBRE</t>
  </si>
  <si>
    <t>CBRE GROUP INC CLASS A</t>
  </si>
  <si>
    <t>USD 34.780.690</t>
  </si>
  <si>
    <t>US12504L1098</t>
  </si>
  <si>
    <t>APTV</t>
  </si>
  <si>
    <t>APTIV PLC</t>
  </si>
  <si>
    <t>USD 34.599.913</t>
  </si>
  <si>
    <t>JE00B783TY65</t>
  </si>
  <si>
    <t>URI</t>
  </si>
  <si>
    <t>UNITED RENTALS INC</t>
  </si>
  <si>
    <t>USD 34.527.318</t>
  </si>
  <si>
    <t>US9113631090</t>
  </si>
  <si>
    <t>TROW</t>
  </si>
  <si>
    <t>T ROWE PRICE GROUP INC</t>
  </si>
  <si>
    <t>USD 34.382.477</t>
  </si>
  <si>
    <t>US74144T1088</t>
  </si>
  <si>
    <t>GWW</t>
  </si>
  <si>
    <t>WW GRAINGER INC</t>
  </si>
  <si>
    <t>USD 33.046.876</t>
  </si>
  <si>
    <t>US3848021040</t>
  </si>
  <si>
    <t>ABC</t>
  </si>
  <si>
    <t>AMERISOURCEBERGEN CORP</t>
  </si>
  <si>
    <t>USD 32.113.783</t>
  </si>
  <si>
    <t>US03073E1055</t>
  </si>
  <si>
    <t>TSCO</t>
  </si>
  <si>
    <t>TRACTOR SUPPLY</t>
  </si>
  <si>
    <t>USD 30.863.722</t>
  </si>
  <si>
    <t>US8923561067</t>
  </si>
  <si>
    <t>IR</t>
  </si>
  <si>
    <t>INGERSOLL RAND INC</t>
  </si>
  <si>
    <t>USD 29.164.201</t>
  </si>
  <si>
    <t>US45687V1061</t>
  </si>
  <si>
    <t>LH</t>
  </si>
  <si>
    <t>LABORATORY CORPORATION OF AMERICA</t>
  </si>
  <si>
    <t>USD 28.612.127</t>
  </si>
  <si>
    <t>US50540R4092</t>
  </si>
  <si>
    <t>PODD</t>
  </si>
  <si>
    <t>INSULET CORP</t>
  </si>
  <si>
    <t>USD 26.708.785</t>
  </si>
  <si>
    <t>US45784P1012</t>
  </si>
  <si>
    <t>PWR</t>
  </si>
  <si>
    <t>QUANTA SERVICES INC</t>
  </si>
  <si>
    <t>USD 26.702.825</t>
  </si>
  <si>
    <t>US74762E1029</t>
  </si>
  <si>
    <t>XYL</t>
  </si>
  <si>
    <t>XYLEM INC</t>
  </si>
  <si>
    <t>USD 26.485.347</t>
  </si>
  <si>
    <t>US98419M1009</t>
  </si>
  <si>
    <t>HBAN</t>
  </si>
  <si>
    <t>HUNTINGTON BANCSHARES INC</t>
  </si>
  <si>
    <t>USD 26.433.205</t>
  </si>
  <si>
    <t>US4461501045</t>
  </si>
  <si>
    <t>RF</t>
  </si>
  <si>
    <t>REGIONS FINANCIAL CORP</t>
  </si>
  <si>
    <t>USD 26.347.198</t>
  </si>
  <si>
    <t>US7591EP1005</t>
  </si>
  <si>
    <t>CAH</t>
  </si>
  <si>
    <t>CARDINAL HEALTH INC</t>
  </si>
  <si>
    <t>USD 26.334.586</t>
  </si>
  <si>
    <t>US14149Y1082</t>
  </si>
  <si>
    <t>DOV</t>
  </si>
  <si>
    <t>DOVER CORP</t>
  </si>
  <si>
    <t>USD 26.064.416</t>
  </si>
  <si>
    <t>US2600031080</t>
  </si>
  <si>
    <t>STLD</t>
  </si>
  <si>
    <t>STEEL DYNAMICS INC</t>
  </si>
  <si>
    <t>USD 25.600.754</t>
  </si>
  <si>
    <t>US8581191009</t>
  </si>
  <si>
    <t>MKC</t>
  </si>
  <si>
    <t>MCCORMICK &amp; CO NON-VOTING INC</t>
  </si>
  <si>
    <t>USD 25.539.282</t>
  </si>
  <si>
    <t>US5797802064</t>
  </si>
  <si>
    <t>WAT</t>
  </si>
  <si>
    <t>WATERS CORP</t>
  </si>
  <si>
    <t>USD 25.530.350</t>
  </si>
  <si>
    <t>US9418481035</t>
  </si>
  <si>
    <t>STE</t>
  </si>
  <si>
    <t>STERIS</t>
  </si>
  <si>
    <t>USD 25.409.111</t>
  </si>
  <si>
    <t>IE00BFY8C754</t>
  </si>
  <si>
    <t>HOLX</t>
  </si>
  <si>
    <t>HOLOGIC INC</t>
  </si>
  <si>
    <t>USD 25.094.786</t>
  </si>
  <si>
    <t>US4364401012</t>
  </si>
  <si>
    <t>VTR</t>
  </si>
  <si>
    <t>VENTAS REIT INC</t>
  </si>
  <si>
    <t>USD 24.619.239</t>
  </si>
  <si>
    <t>US92276F1003</t>
  </si>
  <si>
    <t>NTRS</t>
  </si>
  <si>
    <t>NORTHERN TRUST CORP</t>
  </si>
  <si>
    <t>USD 24.446.006</t>
  </si>
  <si>
    <t>US6658591044</t>
  </si>
  <si>
    <t>CAG</t>
  </si>
  <si>
    <t>CONAGRA BRANDS INC</t>
  </si>
  <si>
    <t>USD 24.116.296</t>
  </si>
  <si>
    <t>US2058871029</t>
  </si>
  <si>
    <t>WST</t>
  </si>
  <si>
    <t>WEST PHARMACEUTICAL SERVICES INC</t>
  </si>
  <si>
    <t>USD 23.361.981</t>
  </si>
  <si>
    <t>US9553061055</t>
  </si>
  <si>
    <t>IEX</t>
  </si>
  <si>
    <t>IDEX CORP</t>
  </si>
  <si>
    <t>USD 22.692.155</t>
  </si>
  <si>
    <t>US45167R1041</t>
  </si>
  <si>
    <t>CLX</t>
  </si>
  <si>
    <t>CLOROX</t>
  </si>
  <si>
    <t>USD 22.630.686</t>
  </si>
  <si>
    <t>US1890541097</t>
  </si>
  <si>
    <t>BALL</t>
  </si>
  <si>
    <t>BALL CORP</t>
  </si>
  <si>
    <t>USD 22.573.139</t>
  </si>
  <si>
    <t>US0584981064</t>
  </si>
  <si>
    <t>TTWO</t>
  </si>
  <si>
    <t>TAKE TWO INTERACTIVE SOFTWARE INC</t>
  </si>
  <si>
    <t>USD 22.456.674</t>
  </si>
  <si>
    <t>US8740541094</t>
  </si>
  <si>
    <t>K</t>
  </si>
  <si>
    <t>KELLOGG</t>
  </si>
  <si>
    <t>USD 22.445.990</t>
  </si>
  <si>
    <t>US4878361082</t>
  </si>
  <si>
    <t>EXPD</t>
  </si>
  <si>
    <t>EXPEDITORS INTERNATIONAL OF WASHIN</t>
  </si>
  <si>
    <t>USD 22.402.230</t>
  </si>
  <si>
    <t>US3021301094</t>
  </si>
  <si>
    <t>BBY</t>
  </si>
  <si>
    <t>BEST BUY INC</t>
  </si>
  <si>
    <t>USD 21.855.286</t>
  </si>
  <si>
    <t>US0865161014</t>
  </si>
  <si>
    <t>DGX</t>
  </si>
  <si>
    <t>QUEST DIAGNOSTICS INC</t>
  </si>
  <si>
    <t>USD 21.689.779</t>
  </si>
  <si>
    <t>US74834L1008</t>
  </si>
  <si>
    <t>ATO</t>
  </si>
  <si>
    <t>ATMOS ENERGY CORP</t>
  </si>
  <si>
    <t>USD 20.188.847</t>
  </si>
  <si>
    <t>US0495601058</t>
  </si>
  <si>
    <t>FDS</t>
  </si>
  <si>
    <t>FACTSET RESEARCH SYSTEMS INC</t>
  </si>
  <si>
    <t>USD 20.122.047</t>
  </si>
  <si>
    <t>US3030751057</t>
  </si>
  <si>
    <t>BG</t>
  </si>
  <si>
    <t>BUNGE LTD</t>
  </si>
  <si>
    <t>USD 19.185.141</t>
  </si>
  <si>
    <t>BMG169621056</t>
  </si>
  <si>
    <t>LKQ</t>
  </si>
  <si>
    <t>LKQ CORP</t>
  </si>
  <si>
    <t>USD 19.176.770</t>
  </si>
  <si>
    <t>US5018892084</t>
  </si>
  <si>
    <t>SIVB</t>
  </si>
  <si>
    <t>SVB FINANCIAL GROUP</t>
  </si>
  <si>
    <t>USD 18.792.750</t>
  </si>
  <si>
    <t>US78486Q1013</t>
  </si>
  <si>
    <t>JBHT</t>
  </si>
  <si>
    <t>JB HUNT TRANSPORT SERVICES INC</t>
  </si>
  <si>
    <t>USD 18.456.859</t>
  </si>
  <si>
    <t>US4456581077</t>
  </si>
  <si>
    <t>PEAK</t>
  </si>
  <si>
    <t>HEALTHPEAK PROPERTIES INC</t>
  </si>
  <si>
    <t>USD 18.348.772</t>
  </si>
  <si>
    <t>US42250P1030</t>
  </si>
  <si>
    <t>USD CASH</t>
  </si>
  <si>
    <t>Liquidità e/o derivati</t>
  </si>
  <si>
    <t>Contanti</t>
  </si>
  <si>
    <t>USD 18.198.241</t>
  </si>
  <si>
    <t>-</t>
  </si>
  <si>
    <t>IPG</t>
  </si>
  <si>
    <t>INTERPUBLIC GROUP OF COMPANIES INC</t>
  </si>
  <si>
    <t>USD 17.678.871</t>
  </si>
  <si>
    <t>US4606901001</t>
  </si>
  <si>
    <t>HRL</t>
  </si>
  <si>
    <t>HORMEL FOODS CORP</t>
  </si>
  <si>
    <t>USD 17.406.392</t>
  </si>
  <si>
    <t>US4404521001</t>
  </si>
  <si>
    <t>POOL</t>
  </si>
  <si>
    <t>POOL CORP</t>
  </si>
  <si>
    <t>USD 17.395.504</t>
  </si>
  <si>
    <t>US73278L1052</t>
  </si>
  <si>
    <t>IP</t>
  </si>
  <si>
    <t>INTERNATIONAL PAPER</t>
  </si>
  <si>
    <t>USD 16.537.426</t>
  </si>
  <si>
    <t>US4601461035</t>
  </si>
  <si>
    <t>MKTX</t>
  </si>
  <si>
    <t>MARKETAXESS HOLDINGS INC</t>
  </si>
  <si>
    <t>USD 15.599.825</t>
  </si>
  <si>
    <t>US57060D1081</t>
  </si>
  <si>
    <t>WTRG</t>
  </si>
  <si>
    <t>ESSENTIAL UTILITIES INC</t>
  </si>
  <si>
    <t>USD 15.276.832</t>
  </si>
  <si>
    <t>US29670G1022</t>
  </si>
  <si>
    <t>CHRW</t>
  </si>
  <si>
    <t>CH ROBINSON WORLDWIDE INC</t>
  </si>
  <si>
    <t>USD 14.583.434</t>
  </si>
  <si>
    <t>US12541W2098</t>
  </si>
  <si>
    <t>HSIC</t>
  </si>
  <si>
    <t>HENRY SCHEIN INC</t>
  </si>
  <si>
    <t>USD 13.756.210</t>
  </si>
  <si>
    <t>US8064071025</t>
  </si>
  <si>
    <t>VFC</t>
  </si>
  <si>
    <t>VF CORP</t>
  </si>
  <si>
    <t>USD 12.923.059</t>
  </si>
  <si>
    <t>US9182041080</t>
  </si>
  <si>
    <t>MTN</t>
  </si>
  <si>
    <t>VAIL RESORTS INC</t>
  </si>
  <si>
    <t>USD 12.755.948</t>
  </si>
  <si>
    <t>US91879Q1094</t>
  </si>
  <si>
    <t>ALLE</t>
  </si>
  <si>
    <t>ALLEGION PLC</t>
  </si>
  <si>
    <t>USD 12.564.792</t>
  </si>
  <si>
    <t>IE00BFRT3W74</t>
  </si>
  <si>
    <t>JAZZ</t>
  </si>
  <si>
    <t>JAZZ PHARMACEUTICALS PLC</t>
  </si>
  <si>
    <t>USD 12.334.217</t>
  </si>
  <si>
    <t>IE00B4Q5ZN47</t>
  </si>
  <si>
    <t>WRK</t>
  </si>
  <si>
    <t>WESTROCK</t>
  </si>
  <si>
    <t>USD 12.008.988</t>
  </si>
  <si>
    <t>US96145D1054</t>
  </si>
  <si>
    <t>NVCR</t>
  </si>
  <si>
    <t>NOVOCURE LTD</t>
  </si>
  <si>
    <t>USD 11.207.556</t>
  </si>
  <si>
    <t>JE00BYSS4X48</t>
  </si>
  <si>
    <t>OC</t>
  </si>
  <si>
    <t>OWENS CORNING</t>
  </si>
  <si>
    <t>USD 11.088.421</t>
  </si>
  <si>
    <t>US6907421019</t>
  </si>
  <si>
    <t>HAS</t>
  </si>
  <si>
    <t>HASBRO INC</t>
  </si>
  <si>
    <t>USD 10.890.725</t>
  </si>
  <si>
    <t>US4180561072</t>
  </si>
  <si>
    <t>PLUG</t>
  </si>
  <si>
    <t>PLUG POWER INC</t>
  </si>
  <si>
    <t>USD 10.796.184</t>
  </si>
  <si>
    <t>US72919P2020</t>
  </si>
  <si>
    <t>RHI</t>
  </si>
  <si>
    <t>ROBERT HALF</t>
  </si>
  <si>
    <t>USD 10.676.245</t>
  </si>
  <si>
    <t>US7703231032</t>
  </si>
  <si>
    <t>KNX</t>
  </si>
  <si>
    <t>KNIGHT-SWIFT TRANSPORTATION HOLDIN</t>
  </si>
  <si>
    <t>USD 10.581.697</t>
  </si>
  <si>
    <t>US4990491049</t>
  </si>
  <si>
    <t>ROL</t>
  </si>
  <si>
    <t>ROLLINS INC</t>
  </si>
  <si>
    <t>USD 10.524.223</t>
  </si>
  <si>
    <t>US7757111049</t>
  </si>
  <si>
    <t>ALLY</t>
  </si>
  <si>
    <t>ALLY FINANCIAL INC</t>
  </si>
  <si>
    <t>USD 10.494.923</t>
  </si>
  <si>
    <t>US02005N1000</t>
  </si>
  <si>
    <t>PNR</t>
  </si>
  <si>
    <t>PENTAIR</t>
  </si>
  <si>
    <t>USD 10.442.636</t>
  </si>
  <si>
    <t>IE00BLS09M33</t>
  </si>
  <si>
    <t>FBIN</t>
  </si>
  <si>
    <t>FORTUNE BRANDS INNOVATIONS INC</t>
  </si>
  <si>
    <t>USD 10.338.523</t>
  </si>
  <si>
    <t>US34964C1062</t>
  </si>
  <si>
    <t>LII</t>
  </si>
  <si>
    <t>LENNOX INTERNATIONAL INC</t>
  </si>
  <si>
    <t>USD 10.155.088</t>
  </si>
  <si>
    <t>US5261071071</t>
  </si>
  <si>
    <t>AOS</t>
  </si>
  <si>
    <t>A O SMITH CORP</t>
  </si>
  <si>
    <t>USD 10.036.604</t>
  </si>
  <si>
    <t>US8318652091</t>
  </si>
  <si>
    <t>XRAY</t>
  </si>
  <si>
    <t>DENTSPLY SIRONA INC</t>
  </si>
  <si>
    <t>USD 9.899.568</t>
  </si>
  <si>
    <t>US24906P1093</t>
  </si>
  <si>
    <t>ZI</t>
  </si>
  <si>
    <t>ZOOMINFO TECHNOLOGIES INC</t>
  </si>
  <si>
    <t>USD 8.570.945</t>
  </si>
  <si>
    <t>US98980F1049</t>
  </si>
  <si>
    <t>IVZ</t>
  </si>
  <si>
    <t>INVESCO LTD</t>
  </si>
  <si>
    <t>USD 8.315.576</t>
  </si>
  <si>
    <t>BMG491BT1088</t>
  </si>
  <si>
    <t>LBTYK</t>
  </si>
  <si>
    <t>LIBERTY GLOBAL PLC CLASS C</t>
  </si>
  <si>
    <t>USD 7.853.866</t>
  </si>
  <si>
    <t>GB00B8W67B19</t>
  </si>
  <si>
    <t>ELAN</t>
  </si>
  <si>
    <t>ELANCO ANIMAL HEALTH INC</t>
  </si>
  <si>
    <t>USD 7.062.494</t>
  </si>
  <si>
    <t>US28414H1032</t>
  </si>
  <si>
    <t>RIVN</t>
  </si>
  <si>
    <t>RIVIAN AUTOMOTIVE INC CLASS A</t>
  </si>
  <si>
    <t>USD 6.571.150</t>
  </si>
  <si>
    <t>US76954A1034</t>
  </si>
  <si>
    <t>DVA</t>
  </si>
  <si>
    <t>DAVITA INC</t>
  </si>
  <si>
    <t>USD 5.444.377</t>
  </si>
  <si>
    <t>US23918K1088</t>
  </si>
  <si>
    <t>LBTYA</t>
  </si>
  <si>
    <t>LIBERTY GLOBAL PLC CLASS A</t>
  </si>
  <si>
    <t>USD 4.396.440</t>
  </si>
  <si>
    <t>GB00B8W67662</t>
  </si>
  <si>
    <t>ICSUAGD</t>
  </si>
  <si>
    <t>BLK ICS USD LIQ AGENCY DIS</t>
  </si>
  <si>
    <t>Money Market</t>
  </si>
  <si>
    <t>USD 2.614.018</t>
  </si>
  <si>
    <t>IE00B50QMP13</t>
  </si>
  <si>
    <t>HSBFT</t>
  </si>
  <si>
    <t>CASH COLLATERAL USD HSBFT</t>
  </si>
  <si>
    <t>Cash Collateral and Margins</t>
  </si>
  <si>
    <t>USD 1.119.000</t>
  </si>
  <si>
    <t>EUR CASH</t>
  </si>
  <si>
    <t>USD 613.112</t>
  </si>
  <si>
    <t>GBP</t>
  </si>
  <si>
    <t>GBP CASH</t>
  </si>
  <si>
    <t>USD 15.585</t>
  </si>
  <si>
    <t>ESH3</t>
  </si>
  <si>
    <t>S&amp;P500 EMINI MAR 23</t>
  </si>
  <si>
    <t>Futures</t>
  </si>
  <si>
    <t>SUAS.L</t>
  </si>
  <si>
    <t>MSCI USA SRI</t>
  </si>
  <si>
    <t>VTI</t>
  </si>
  <si>
    <t>Vanguard Total Stock Market</t>
  </si>
  <si>
    <t>TLT</t>
  </si>
  <si>
    <t>iShares 20+ Year Treasury Bond</t>
  </si>
  <si>
    <t>IEI</t>
  </si>
  <si>
    <t>iShares 3-7 Year Treasury Bond</t>
  </si>
  <si>
    <t>GLD</t>
  </si>
  <si>
    <t>SPDR Gold Trust</t>
  </si>
  <si>
    <t>GSG</t>
  </si>
  <si>
    <t>iShares S&amp;P GSCI Commodity Indexed Trust</t>
  </si>
  <si>
    <t>SHY</t>
  </si>
  <si>
    <t>iShares 1-3 Year Treasury Bond</t>
  </si>
  <si>
    <t>IJS</t>
  </si>
  <si>
    <t>USA SMALL CAP VALUE</t>
  </si>
  <si>
    <t>Valuta</t>
  </si>
  <si>
    <t>VWCE.DE</t>
  </si>
  <si>
    <t>Vanguard FTSE All-World</t>
  </si>
  <si>
    <t>EQAC.MI</t>
  </si>
  <si>
    <t>Invesco EQQQ NASDAQ-100</t>
  </si>
  <si>
    <t>VT</t>
  </si>
  <si>
    <t>Vanguard Total World Stock Index Fund</t>
  </si>
  <si>
    <t>VYM</t>
  </si>
  <si>
    <t>Vanguard High Dividend Yield</t>
  </si>
  <si>
    <t>VYMI</t>
  </si>
  <si>
    <t>Vanguard International High Dividend</t>
  </si>
  <si>
    <t>VTV</t>
  </si>
  <si>
    <t>Vanguard Value Index Fund</t>
  </si>
  <si>
    <t>VSS</t>
  </si>
  <si>
    <t>Vanguard FTSE All-World ex US Small Capital</t>
  </si>
  <si>
    <t>VBR</t>
  </si>
  <si>
    <t>Vanguard Small Cap Value</t>
  </si>
  <si>
    <t>SONY</t>
  </si>
  <si>
    <t>INTC</t>
  </si>
  <si>
    <t>INTEL</t>
  </si>
  <si>
    <t>CHEK</t>
  </si>
  <si>
    <t>CHECK CAP</t>
  </si>
  <si>
    <t>^DJI</t>
  </si>
  <si>
    <t>DJI INDUSTRIAL</t>
  </si>
  <si>
    <t>^DJU</t>
  </si>
  <si>
    <t>DJU UTILITY</t>
  </si>
  <si>
    <t>CSNDX.SW</t>
  </si>
  <si>
    <t>ETF NASDAQ 100</t>
  </si>
  <si>
    <t>^GSPC</t>
  </si>
  <si>
    <t>S&amp;P500</t>
  </si>
  <si>
    <t>IWV</t>
  </si>
  <si>
    <t>ETF RUSSELL 3000</t>
  </si>
  <si>
    <t>IWX</t>
  </si>
  <si>
    <t>ETF RUSSELL TOP200 VALUE</t>
  </si>
  <si>
    <t>IWY</t>
  </si>
  <si>
    <t>ETF RUSSELL TOP200 GROWTH</t>
  </si>
  <si>
    <t>IWB</t>
  </si>
  <si>
    <t>ETF RUSSELL 1000</t>
  </si>
  <si>
    <t>IWD</t>
  </si>
  <si>
    <t>ETF RUSSELL 1000 VALUE</t>
  </si>
  <si>
    <t>IWF</t>
  </si>
  <si>
    <t>ETF RUSSELL 1000 GROWT</t>
  </si>
  <si>
    <t>IWM</t>
  </si>
  <si>
    <t>ETF RUSSELL 2000</t>
  </si>
  <si>
    <t>IWN</t>
  </si>
  <si>
    <t>ETF RUSSELL 2000 VALUE</t>
  </si>
  <si>
    <t>IWO</t>
  </si>
  <si>
    <t>ETF RUSSELL 2000 GROWT</t>
  </si>
  <si>
    <t>IWR</t>
  </si>
  <si>
    <t>ETF MID CAP</t>
  </si>
  <si>
    <t>IWS</t>
  </si>
  <si>
    <t>ETF MID CAP VALUE</t>
  </si>
  <si>
    <t>IWP</t>
  </si>
  <si>
    <t>ETF MID CAP GROWT</t>
  </si>
  <si>
    <t>IWC</t>
  </si>
  <si>
    <t>ETF MICRO CAPS</t>
  </si>
  <si>
    <t>MSCI Europe SRI EUR</t>
  </si>
  <si>
    <t>SGLD.L</t>
  </si>
  <si>
    <t>PHYSICAL GOLD</t>
  </si>
  <si>
    <t>BRND.L</t>
  </si>
  <si>
    <t>BRENT CRUDE OIL</t>
  </si>
  <si>
    <t>WTID.L</t>
  </si>
  <si>
    <t>WTI CRUDE OIL</t>
  </si>
  <si>
    <t>NG=F</t>
  </si>
  <si>
    <t>NATURAL GAS FUTURE</t>
  </si>
  <si>
    <t>PURISIMA TOTAL RETURN EUR</t>
  </si>
  <si>
    <t>GBSE.MI</t>
  </si>
  <si>
    <t>GOLD EUR HEDGED</t>
  </si>
  <si>
    <t>AMZN</t>
  </si>
  <si>
    <t>AMAZON COM INC  IT</t>
  </si>
  <si>
    <t>C50.PA</t>
  </si>
  <si>
    <t>AMUNDI EURO STOXX 50</t>
  </si>
  <si>
    <t>BRK-B</t>
  </si>
  <si>
    <t>BERKSHIRE HATHAW  GY</t>
  </si>
  <si>
    <t>CSSPX.SW</t>
  </si>
  <si>
    <t>CS ETF CORE S&amp;P 500</t>
  </si>
  <si>
    <t>XDEQ.DE</t>
  </si>
  <si>
    <t>DB X TRACK WRLD QUAL</t>
  </si>
  <si>
    <t>EUNA.DE</t>
  </si>
  <si>
    <t>ISH CORE GLB BD ETF</t>
  </si>
  <si>
    <t>ISHARES EDGE MSCI WO</t>
  </si>
  <si>
    <t>JOUT</t>
  </si>
  <si>
    <t>JOHNSON OUTDOORS INC</t>
  </si>
  <si>
    <t>LCJP.MI</t>
  </si>
  <si>
    <t>LYXOR MSCI JAPAN ETF</t>
  </si>
  <si>
    <t>LCWL.L</t>
  </si>
  <si>
    <t>LYXOR MSCI WRLD ETF</t>
  </si>
  <si>
    <t>META</t>
  </si>
  <si>
    <t>META PLATFORMS INC</t>
  </si>
  <si>
    <t>TIT.MI</t>
  </si>
  <si>
    <t>TELECOM ITALIA</t>
  </si>
  <si>
    <t>SW2CHB.SW</t>
  </si>
  <si>
    <t>UBS MSCI SW20/35 A</t>
  </si>
  <si>
    <t>CHF</t>
  </si>
  <si>
    <t>VWRA.L</t>
  </si>
  <si>
    <t>VANGUARDETF WRLD SHS</t>
  </si>
  <si>
    <t>totale</t>
  </si>
  <si>
    <t>Immobile</t>
  </si>
  <si>
    <t>conto</t>
  </si>
  <si>
    <t>Teresa</t>
  </si>
  <si>
    <t>Michela</t>
  </si>
  <si>
    <t>annarita</t>
  </si>
  <si>
    <t>Annarita</t>
  </si>
  <si>
    <t>Bonifico</t>
  </si>
  <si>
    <t>VHVE.MI</t>
  </si>
  <si>
    <t>Vanguard FTSE Developed World</t>
  </si>
  <si>
    <t>SPDR MSCI USA Small Cap Value Weighted</t>
  </si>
  <si>
    <t>ZPRX.DE</t>
  </si>
  <si>
    <t>SPDR MSCI Europe Small Cap Value Weighted</t>
  </si>
  <si>
    <t>JPM Global Equity Multi-Factor</t>
  </si>
  <si>
    <t>JPGL.MI</t>
  </si>
  <si>
    <t>VFEA.MI</t>
  </si>
  <si>
    <t>Vanguard FTSE Emerging Markets</t>
  </si>
  <si>
    <t>Descrizione</t>
  </si>
  <si>
    <t>BLK.NYSE</t>
  </si>
  <si>
    <t>CBU3.LSE</t>
  </si>
  <si>
    <t>EIMI.MIL</t>
  </si>
  <si>
    <t>EM.13.MIL</t>
  </si>
  <si>
    <t>EMIM.LSE</t>
  </si>
  <si>
    <t>HTWO--19/04/2021</t>
  </si>
  <si>
    <t>INRG--19/04/2021</t>
  </si>
  <si>
    <t>ISPY--19/04/2021</t>
  </si>
  <si>
    <t>RBOT--19/04/2021</t>
  </si>
  <si>
    <t>XDWC--19/04/2021</t>
  </si>
  <si>
    <t>BlackRock, Inc.</t>
  </si>
  <si>
    <t>CBU3.L</t>
  </si>
  <si>
    <t>Treasury Bond 1-3yr</t>
  </si>
  <si>
    <t>MSCI EM IMI</t>
  </si>
  <si>
    <t>INRG.MI</t>
  </si>
  <si>
    <t>Clean Energy</t>
  </si>
  <si>
    <t>ISPY.MI</t>
  </si>
  <si>
    <t>Cyber Security</t>
  </si>
  <si>
    <t>RBOT.L</t>
  </si>
  <si>
    <t>Automation &amp; Robotics</t>
  </si>
  <si>
    <t>World Consumer Discretionary</t>
  </si>
  <si>
    <t>MMM</t>
  </si>
  <si>
    <t>3M</t>
  </si>
  <si>
    <t>Adobe Inc.</t>
  </si>
  <si>
    <t>ALPHABETH</t>
  </si>
  <si>
    <t>Amazon.com, Inc.</t>
  </si>
  <si>
    <t>AMPH</t>
  </si>
  <si>
    <t>Amphastar Pharmaceuticals, Inc.</t>
  </si>
  <si>
    <t>AMAT</t>
  </si>
  <si>
    <t xml:space="preserve">Applied Materials, Inc. </t>
  </si>
  <si>
    <t>PERI</t>
  </si>
  <si>
    <t>Perion Network Ltd.</t>
  </si>
  <si>
    <t>RY</t>
  </si>
  <si>
    <t>Royal Bank of Canada</t>
  </si>
  <si>
    <t>TMUS</t>
  </si>
  <si>
    <t>T-Mobile US, Inc.</t>
  </si>
  <si>
    <t>TEX</t>
  </si>
  <si>
    <t>Terex Corporation</t>
  </si>
  <si>
    <t>IWDA.L</t>
  </si>
  <si>
    <t>Core MSCI World</t>
  </si>
  <si>
    <t>LQDA.L</t>
  </si>
  <si>
    <t>$ Corp Bond</t>
  </si>
  <si>
    <t>GOOGL</t>
  </si>
  <si>
    <t>SHYG.L</t>
  </si>
  <si>
    <t>iShares € High Yield Corp Bond</t>
  </si>
  <si>
    <t>VDEA.L</t>
  </si>
  <si>
    <t>Vanguard USD Emerging Markets Government Bond</t>
  </si>
  <si>
    <t>VECA.DE</t>
  </si>
  <si>
    <t>Vanguard EUR Corporate Bond</t>
  </si>
  <si>
    <t>VDPA.L</t>
  </si>
  <si>
    <t>Vanguard USD Corporate Bond</t>
  </si>
  <si>
    <t>VDCA.L</t>
  </si>
  <si>
    <t>Vanguard USD Corporate 1-3 anni Bond</t>
  </si>
  <si>
    <t>VAGF.MI</t>
  </si>
  <si>
    <t>Vanguard Global Aggregate Bond</t>
  </si>
  <si>
    <t>VDTA.L</t>
  </si>
  <si>
    <t>Vanguard USD Treasury Bond</t>
  </si>
  <si>
    <t>iShares $ High Yield Corp Bond</t>
  </si>
  <si>
    <t>IS0R.DE</t>
  </si>
  <si>
    <t>VHYL.L</t>
  </si>
  <si>
    <t>Vanguard FTSE All-World High Dividend Yield</t>
  </si>
  <si>
    <t>SPYD.DE</t>
  </si>
  <si>
    <t>SPDR S&amp;P US Dividend Aristocrats</t>
  </si>
  <si>
    <t>Invesco AT1 Capital Bond </t>
  </si>
  <si>
    <t>AT1.L</t>
  </si>
  <si>
    <t>EHYA.AS</t>
  </si>
  <si>
    <t>iShares € High Yield Corp Bond ESG</t>
  </si>
  <si>
    <t>SPDR Refinitiv Global Convertible Bond</t>
  </si>
  <si>
    <t>GCVB.L</t>
  </si>
  <si>
    <t xml:space="preserve">Bayer Aktiengesellschaft </t>
  </si>
  <si>
    <t>BAYN.DE</t>
  </si>
  <si>
    <t xml:space="preserve">Volkswagen AG </t>
  </si>
  <si>
    <t>VOW3.DE</t>
  </si>
  <si>
    <t>The Coca-Cola Company</t>
  </si>
  <si>
    <t>Engie SA</t>
  </si>
  <si>
    <t xml:space="preserve">Stellantis N.V. </t>
  </si>
  <si>
    <t>STLA</t>
  </si>
  <si>
    <t xml:space="preserve">Eni SpA </t>
  </si>
  <si>
    <t>ENI.MI</t>
  </si>
  <si>
    <t xml:space="preserve">Intesa Sanpaolo SpA </t>
  </si>
  <si>
    <t>ISP.MI</t>
  </si>
  <si>
    <t xml:space="preserve">Leonardo Spa </t>
  </si>
  <si>
    <t>LDO.MI</t>
  </si>
  <si>
    <t xml:space="preserve">A2A SpA </t>
  </si>
  <si>
    <t xml:space="preserve">Poste Italiane SpA </t>
  </si>
  <si>
    <t xml:space="preserve">Ferrari N.V. </t>
  </si>
  <si>
    <t xml:space="preserve">Davide Campari-Milano NV </t>
  </si>
  <si>
    <t>A2A.MI</t>
  </si>
  <si>
    <t>PST.MI</t>
  </si>
  <si>
    <t>RACE</t>
  </si>
  <si>
    <t>CPR.MI</t>
  </si>
  <si>
    <t xml:space="preserve">JPM Global Equity Multi-Factor UCITS ETF </t>
  </si>
  <si>
    <t>VHVE.L</t>
  </si>
  <si>
    <t xml:space="preserve">Vanguard FTSE Developed World UCITS ETF </t>
  </si>
  <si>
    <t>USSC.L</t>
  </si>
  <si>
    <t xml:space="preserve">SPDR MSCI USA Small Cap Value Weighted UCITS ETF </t>
  </si>
  <si>
    <t>VFEA.L</t>
  </si>
  <si>
    <t xml:space="preserve">Vanguard FTSE Emerging Markets UCITS ETF </t>
  </si>
  <si>
    <t xml:space="preserve">SPDR MSCI Europe Small Cap Value Weighted UCITS ETF </t>
  </si>
  <si>
    <t xml:space="preserve">iShares Core MSCI World UCITS ETF </t>
  </si>
  <si>
    <t xml:space="preserve">Lyxor Euro Government Bond 7-10Y (DR) UCITS ETF </t>
  </si>
  <si>
    <t>MTD.PA</t>
  </si>
  <si>
    <t>ETF</t>
  </si>
  <si>
    <t>Type</t>
  </si>
  <si>
    <t>Ticker</t>
  </si>
  <si>
    <t>ISIN</t>
  </si>
  <si>
    <t>Wallet weight</t>
  </si>
  <si>
    <t>Note</t>
  </si>
  <si>
    <t>iShares Core MSCI World UCITS ETF USD (Acc)</t>
  </si>
  <si>
    <t>Stocks</t>
  </si>
  <si>
    <t>SWDA</t>
  </si>
  <si>
    <t>IE00B4L5Y983</t>
  </si>
  <si>
    <t>World</t>
  </si>
  <si>
    <t>iShares S&amp;P 500 Information Technology Sector UCITS ETF USD (Acc)</t>
  </si>
  <si>
    <t>QDVE</t>
  </si>
  <si>
    <t>IE00B3WJKG14</t>
  </si>
  <si>
    <t>IT US</t>
  </si>
  <si>
    <t>Xtrackers EURO STOXX 50 UCITS ETF 1C</t>
  </si>
  <si>
    <t>XESC</t>
  </si>
  <si>
    <t>LU0380865021</t>
  </si>
  <si>
    <t>EU</t>
  </si>
  <si>
    <t>iShares Core Global Aggregate Bond UCITS ETF EUR Hedged (Acc)</t>
  </si>
  <si>
    <t>Bond</t>
  </si>
  <si>
    <t>AGGH</t>
  </si>
  <si>
    <t>IE00BDBRDM35</t>
  </si>
  <si>
    <t>iShares Core Euro Government Bond UCITS ETF (Dist)</t>
  </si>
  <si>
    <t>SEGA</t>
  </si>
  <si>
    <t>IE00B4WXJJ64</t>
  </si>
  <si>
    <t>iShares EUR Ultrashort Bond UCITS ETF EUR (Dist)</t>
  </si>
  <si>
    <t>ERNE</t>
  </si>
  <si>
    <t>IE00BCRY6557</t>
  </si>
  <si>
    <t>Fondo emergenza</t>
  </si>
  <si>
    <t>Cash</t>
  </si>
  <si>
    <t xml:space="preserve">iShares EURO STOXX 50 UCITS ETF </t>
  </si>
  <si>
    <t>EUEA.AS</t>
  </si>
  <si>
    <t>iShares Core Global Aggregate Bond UCITS ETF (EUNA.DE)</t>
  </si>
  <si>
    <t xml:space="preserve">iShares Core Global Aggregate Bond UCITS ETF </t>
  </si>
  <si>
    <t xml:space="preserve">iShares € Ultrashort Bond UCITS ETF </t>
  </si>
  <si>
    <t>ERN1.L</t>
  </si>
  <si>
    <t xml:space="preserve">iShares Core € Govt Bond </t>
  </si>
  <si>
    <t>SEGA.L</t>
  </si>
  <si>
    <t>ASML.AS</t>
  </si>
  <si>
    <t> iShares MSCI World EUR Hedged UCITS ETF (Acc) (IWDE.SW)</t>
  </si>
  <si>
    <t>iShares S&amp;P 500 EUR Hedged UCITS ETF (Acc) (IUSE.L)</t>
  </si>
  <si>
    <t>Xtrackers MSCI World Information Technology UCITS ETF (XDWT.L)</t>
  </si>
  <si>
    <t>iShares Digitalisation UCITS ETF (DGIT.L)</t>
  </si>
  <si>
    <t>L&amp;G Cyber ​​Security UCITS ETF (ISPY.L)</t>
  </si>
  <si>
    <t>L&amp;G ROBO Global Robotics and Automation UCITS ETF (ROBO.MI)</t>
  </si>
  <si>
    <t>ROBO.MI</t>
  </si>
  <si>
    <t>SPDR MSCI EM Asia UCITS ETF (SPYA.DE)</t>
  </si>
  <si>
    <t>SPYA.DE</t>
  </si>
  <si>
    <t>Lyxor MSCI World Health Care TR UCITS ETF (LYPE.DE)</t>
  </si>
  <si>
    <t>LYPE.DE</t>
  </si>
  <si>
    <t>Vanguard EUR Corporate Bond UCITS ETF (VECP.MI)</t>
  </si>
  <si>
    <t>VECP.MI</t>
  </si>
  <si>
    <t>iShares $ Treasury Bond 1-3yr UCITS ETF USD (Acc) (CSBGU3.SW)</t>
  </si>
  <si>
    <t>CSBGU3.SW</t>
  </si>
  <si>
    <t>Xtrackers Physical Gold EUR Hedged ETC (XAD1.SW)</t>
  </si>
  <si>
    <t>XAD1.SW</t>
  </si>
  <si>
    <t>NL0010273215</t>
  </si>
  <si>
    <t>US4278661081</t>
  </si>
  <si>
    <t>FR0000121014</t>
  </si>
  <si>
    <t>FR0000120321</t>
  </si>
  <si>
    <t>FR0000130395</t>
  </si>
  <si>
    <t>FR0000120578</t>
  </si>
  <si>
    <t>GB00B10RZP78</t>
  </si>
  <si>
    <t>US92826C8394</t>
  </si>
  <si>
    <t>US6541061031</t>
  </si>
  <si>
    <t>US02079K3059</t>
  </si>
  <si>
    <t>ASML Holding</t>
  </si>
  <si>
    <t>The Hershey Company</t>
  </si>
  <si>
    <t>LVMH</t>
  </si>
  <si>
    <t>Microsoft Corporation</t>
  </si>
  <si>
    <t>L'Oréal</t>
  </si>
  <si>
    <t>Remy Cointreau</t>
  </si>
  <si>
    <t>Sanofi</t>
  </si>
  <si>
    <t>Unilever PLC</t>
  </si>
  <si>
    <t>Visa Inc.</t>
  </si>
  <si>
    <t>Nike Inc.</t>
  </si>
  <si>
    <t>Electronic Arts Inc.</t>
  </si>
  <si>
    <t>Alphabet</t>
  </si>
  <si>
    <t>HSY</t>
  </si>
  <si>
    <t>MC.PA</t>
  </si>
  <si>
    <t>OR.PA</t>
  </si>
  <si>
    <t>RCO.PA</t>
  </si>
  <si>
    <t>SAN.PA</t>
  </si>
  <si>
    <t>ULVR.L</t>
  </si>
  <si>
    <t>V</t>
  </si>
  <si>
    <t>NKE</t>
  </si>
  <si>
    <t xml:space="preserve">Xtrackers MSCI Emerging Markets UCITS ETF </t>
  </si>
  <si>
    <t>XMME.L</t>
  </si>
  <si>
    <t>VWRL.AS</t>
  </si>
  <si>
    <t xml:space="preserve">Vanguard FTSE All-World </t>
  </si>
  <si>
    <t>FGQI.L</t>
  </si>
  <si>
    <t>ETF Fidelity Global Quality Income</t>
  </si>
  <si>
    <t>IWDP.AS</t>
  </si>
  <si>
    <t>iShares Developed Markets Property Yield</t>
  </si>
  <si>
    <t>VHYL.AS</t>
  </si>
  <si>
    <t>IEAG.MI</t>
  </si>
  <si>
    <t xml:space="preserve">iShares € Aggregate Bond ESG </t>
  </si>
  <si>
    <t>USA SRI  USD</t>
  </si>
  <si>
    <t>JNJ</t>
  </si>
  <si>
    <t>JHONSON &amp;JHONSON</t>
  </si>
  <si>
    <t>Advanced Micro Devices, Inc. (AMD)</t>
  </si>
  <si>
    <t>AMD</t>
  </si>
  <si>
    <t>Il Gruppo Cigna (CI)</t>
  </si>
  <si>
    <t>BlackRock, Inc. (BLK)</t>
  </si>
  <si>
    <t>UnitedHealth Group Incorporated (UNH)</t>
  </si>
  <si>
    <t>UNH</t>
  </si>
  <si>
    <t>Tesla, Inc. (TSLA)</t>
  </si>
  <si>
    <t>MELI</t>
  </si>
  <si>
    <t>MercadoLibre, Inc. (MELI)</t>
  </si>
  <si>
    <t>Apple Inc. (AAPL)</t>
  </si>
  <si>
    <t>AAPL</t>
  </si>
  <si>
    <t>NVIDIA Corporation (NVDA)</t>
  </si>
  <si>
    <t>Alfabeto Inc. (GOOGL)</t>
  </si>
  <si>
    <t>Microsoft Corporation (MSFT)</t>
  </si>
  <si>
    <t>Deere &amp; Company (DE)</t>
  </si>
  <si>
    <t>DE</t>
  </si>
  <si>
    <t>Broadcom Inc. (AVGO)</t>
  </si>
  <si>
    <t>AVGO</t>
  </si>
  <si>
    <t>Boston Scientific Corporation (BSX)</t>
  </si>
  <si>
    <t>BSX</t>
  </si>
  <si>
    <t>Oracle Corporation (ORCL)</t>
  </si>
  <si>
    <t>ORCL</t>
  </si>
  <si>
    <t>Sanlorenzo SpA (SL.MI)</t>
  </si>
  <si>
    <t>SL.MI</t>
  </si>
  <si>
    <t>Bitcoin USD (BTC-USD)</t>
  </si>
  <si>
    <t>BTC-USD</t>
  </si>
  <si>
    <t>Ethereum USD (ETH-USD)</t>
  </si>
  <si>
    <t>ETH-USD</t>
  </si>
  <si>
    <t>XDEV.DE</t>
  </si>
  <si>
    <t>WORLD VALUE XTRAC</t>
  </si>
  <si>
    <t>WORLD MOMENTUM</t>
  </si>
  <si>
    <t>USA MOMENTUM</t>
  </si>
  <si>
    <t>USA VALUE</t>
  </si>
  <si>
    <t>iShares MSCI World Information Technology Sector ESG UCITS ETF (WITS.AS)</t>
  </si>
  <si>
    <t>WITS.AS</t>
  </si>
  <si>
    <t>iShares Core S&amp;P 500 UCITS ETF USD (Acc)</t>
  </si>
  <si>
    <t>Vanguard FTSE All-World UCITS ETF USD Acc</t>
  </si>
  <si>
    <t>iShares Core MSCI EM IMI UCITS ETF USD Acc</t>
  </si>
  <si>
    <t>Tesla Inc</t>
  </si>
  <si>
    <t>AMUNDI MSCI Japan UCITS ETF - Acc</t>
  </si>
  <si>
    <t>Alibaba Group Holding Ltd - ADR</t>
  </si>
  <si>
    <t>Amazon.com Inc</t>
  </si>
  <si>
    <t>iShares Digital Security UCITS ETF USD (Acc)</t>
  </si>
  <si>
    <t>Enphase Energy Inc</t>
  </si>
  <si>
    <t>Bitcoin - BTC</t>
  </si>
  <si>
    <t>Ethereum - ETH</t>
  </si>
  <si>
    <t>CSSPX.MI</t>
  </si>
  <si>
    <t>EIMI.MI</t>
  </si>
  <si>
    <t>SWDA.MI</t>
  </si>
  <si>
    <t>BABA</t>
  </si>
  <si>
    <t>LOCK.L</t>
  </si>
  <si>
    <t>E0P.F</t>
  </si>
  <si>
    <t>BTC-EUR</t>
  </si>
  <si>
    <t>BTC-ETH</t>
  </si>
  <si>
    <t>iShares Govt Bond 15-30yr UCITS ETF EUR (Dist)</t>
  </si>
  <si>
    <t>EM710.MI</t>
  </si>
  <si>
    <t>Lyxor Euro Government Bond 7-10Y </t>
  </si>
  <si>
    <t>IBGL.MI</t>
  </si>
  <si>
    <t>IESE.MI</t>
  </si>
  <si>
    <t>IWDE.MI</t>
  </si>
  <si>
    <t>Vanguard FTSE North America</t>
  </si>
  <si>
    <t xml:space="preserve">Vanguard FTSE Emerging Markets </t>
  </si>
  <si>
    <t xml:space="preserve">SPDR MSCI USA Small Cap Value Weighted </t>
  </si>
  <si>
    <t>IUSN.DE</t>
  </si>
  <si>
    <t>iShares MSCI World Small Cap</t>
  </si>
  <si>
    <t>VNRA.DE</t>
  </si>
  <si>
    <t>MSCI WORLD SRI</t>
  </si>
  <si>
    <t>VSQAX</t>
  </si>
  <si>
    <t>Invesco MSCI World SRI</t>
  </si>
  <si>
    <t xml:space="preserve">iShares Core MSCI World </t>
  </si>
  <si>
    <t>SYBJ.DE</t>
  </si>
  <si>
    <t xml:space="preserve">SPDR Bloomberg Euro High Yield Bond </t>
  </si>
  <si>
    <t>iShares J.P. Morgan $ EM Bond</t>
  </si>
  <si>
    <t>Xtrackers II US Treasuries</t>
  </si>
  <si>
    <t>XUTD.L</t>
  </si>
  <si>
    <t xml:space="preserve">PIMCO ETFs plc - US Short-Term High Yield Corporate Bond </t>
  </si>
  <si>
    <t>STHY.L</t>
  </si>
  <si>
    <t xml:space="preserve">Xtrackers USD High Yield Corporate Bond </t>
  </si>
  <si>
    <t xml:space="preserve">SPDR MSCI EM Asia </t>
  </si>
  <si>
    <t xml:space="preserve">VanEck Morningstar Developed Markets Dividend Leaders </t>
  </si>
  <si>
    <t>TDIV.AS</t>
  </si>
  <si>
    <t xml:space="preserve">Fidelity Global Quality Income </t>
  </si>
  <si>
    <t>SPDR MSCI ACWI</t>
  </si>
  <si>
    <t>SPYY.DE</t>
  </si>
  <si>
    <t xml:space="preserve">Vanguard FTSE All-World High Dividend Yield </t>
  </si>
  <si>
    <t>ISFA.AS</t>
  </si>
  <si>
    <t xml:space="preserve">iShares Core FTSE 100 </t>
  </si>
  <si>
    <t xml:space="preserve">Invesco Physical Gold </t>
  </si>
  <si>
    <t>XUHY.L</t>
  </si>
  <si>
    <t>MTCH</t>
  </si>
  <si>
    <t>ALPHABET-A</t>
  </si>
  <si>
    <t>AMAZON.COM</t>
  </si>
  <si>
    <t>APPLE</t>
  </si>
  <si>
    <t>MATCH GROUP</t>
  </si>
  <si>
    <t>MICROSOFT</t>
  </si>
  <si>
    <t>TESLA</t>
  </si>
  <si>
    <t>BIONANO GENOM</t>
  </si>
  <si>
    <t>TWILIO-A</t>
  </si>
  <si>
    <t>NIO SP ADS-A</t>
  </si>
  <si>
    <t>BNGO</t>
  </si>
  <si>
    <t>TWLO</t>
  </si>
  <si>
    <t>NIO</t>
  </si>
  <si>
    <t>NASDAQ100</t>
  </si>
  <si>
    <t>CSNDX.MI</t>
  </si>
  <si>
    <t>MSCI WORLD USD</t>
  </si>
  <si>
    <t>MSCI WORLD</t>
  </si>
  <si>
    <t>Salesforce Inc</t>
  </si>
  <si>
    <r>
      <rPr>
        <sz val="12"/>
        <rFont val="Arial"/>
        <family val="2"/>
      </rPr>
      <t>BlackRock</t>
    </r>
  </si>
  <si>
    <r>
      <rPr>
        <sz val="12"/>
        <rFont val="Arial"/>
        <family val="2"/>
      </rPr>
      <t>Alphabet A</t>
    </r>
  </si>
  <si>
    <r>
      <rPr>
        <sz val="12"/>
        <rFont val="Arial"/>
        <family val="2"/>
      </rPr>
      <t>3M Company</t>
    </r>
  </si>
  <si>
    <r>
      <rPr>
        <sz val="12"/>
        <rFont val="Arial"/>
        <family val="2"/>
      </rPr>
      <t>Royal Bank of Canada</t>
    </r>
  </si>
  <si>
    <r>
      <rPr>
        <sz val="12"/>
        <rFont val="Arial"/>
        <family val="2"/>
      </rPr>
      <t>Marathon Petroleum</t>
    </r>
  </si>
  <si>
    <r>
      <rPr>
        <sz val="12"/>
        <rFont val="Arial"/>
        <family val="2"/>
      </rPr>
      <t>Terex Corporation</t>
    </r>
  </si>
  <si>
    <r>
      <rPr>
        <sz val="12"/>
        <rFont val="Arial"/>
        <family val="2"/>
      </rPr>
      <t>Ardmore Shipping Corp</t>
    </r>
  </si>
  <si>
    <r>
      <rPr>
        <sz val="12"/>
        <rFont val="Arial"/>
        <family val="2"/>
      </rPr>
      <t>Perion Network</t>
    </r>
  </si>
  <si>
    <r>
      <rPr>
        <sz val="12"/>
        <rFont val="Arial"/>
        <family val="2"/>
      </rPr>
      <t>Tecnoglass Inc</t>
    </r>
  </si>
  <si>
    <r>
      <rPr>
        <sz val="12"/>
        <rFont val="Arial"/>
        <family val="2"/>
      </rPr>
      <t>Salesforce Inc</t>
    </r>
  </si>
  <si>
    <r>
      <rPr>
        <sz val="12"/>
        <rFont val="Arial"/>
        <family val="2"/>
      </rPr>
      <t>Amphastar Pharma</t>
    </r>
  </si>
  <si>
    <r>
      <rPr>
        <sz val="12"/>
        <rFont val="Arial"/>
        <family val="2"/>
      </rPr>
      <t>Green Bricks Partners</t>
    </r>
  </si>
  <si>
    <r>
      <rPr>
        <sz val="12"/>
        <rFont val="Arial"/>
        <family val="2"/>
      </rPr>
      <t>Sterling Construction</t>
    </r>
  </si>
  <si>
    <r>
      <rPr>
        <sz val="12"/>
        <rFont val="Arial"/>
        <family val="2"/>
      </rPr>
      <t>T-Mobile</t>
    </r>
  </si>
  <si>
    <r>
      <rPr>
        <sz val="12"/>
        <rFont val="Arial"/>
        <family val="2"/>
      </rPr>
      <t>Celestica Inc</t>
    </r>
  </si>
  <si>
    <r>
      <rPr>
        <sz val="12"/>
        <rFont val="Arial"/>
        <family val="2"/>
      </rPr>
      <t>Manulife Financial Corp</t>
    </r>
  </si>
  <si>
    <r>
      <rPr>
        <sz val="12"/>
        <rFont val="Arial"/>
        <family val="2"/>
      </rPr>
      <t>HF Sinclair Corp.</t>
    </r>
  </si>
  <si>
    <r>
      <rPr>
        <sz val="12"/>
        <rFont val="Arial"/>
        <family val="2"/>
      </rPr>
      <t>Pepsi Co</t>
    </r>
  </si>
  <si>
    <r>
      <rPr>
        <sz val="12"/>
        <rFont val="Arial"/>
        <family val="2"/>
      </rPr>
      <t>Googl</t>
    </r>
  </si>
  <si>
    <r>
      <rPr>
        <sz val="12"/>
        <rFont val="Arial"/>
        <family val="2"/>
      </rPr>
      <t>Mmm</t>
    </r>
  </si>
  <si>
    <r>
      <rPr>
        <sz val="12"/>
        <rFont val="Arial"/>
        <family val="2"/>
      </rPr>
      <t>RY</t>
    </r>
  </si>
  <si>
    <r>
      <rPr>
        <sz val="12"/>
        <rFont val="Arial"/>
        <family val="2"/>
      </rPr>
      <t>Mpc</t>
    </r>
  </si>
  <si>
    <r>
      <rPr>
        <sz val="12"/>
        <rFont val="Arial"/>
        <family val="2"/>
      </rPr>
      <t>Tex</t>
    </r>
  </si>
  <si>
    <r>
      <rPr>
        <sz val="12"/>
        <rFont val="Arial"/>
        <family val="2"/>
      </rPr>
      <t>Asc</t>
    </r>
  </si>
  <si>
    <r>
      <rPr>
        <sz val="12"/>
        <rFont val="Arial"/>
        <family val="2"/>
      </rPr>
      <t>Peri</t>
    </r>
  </si>
  <si>
    <r>
      <rPr>
        <sz val="12"/>
        <rFont val="Arial"/>
        <family val="2"/>
      </rPr>
      <t>Tgls</t>
    </r>
  </si>
  <si>
    <r>
      <rPr>
        <sz val="12"/>
        <rFont val="Arial"/>
        <family val="2"/>
      </rPr>
      <t>Crm</t>
    </r>
  </si>
  <si>
    <r>
      <rPr>
        <sz val="12"/>
        <rFont val="Arial"/>
        <family val="2"/>
      </rPr>
      <t>Amph</t>
    </r>
  </si>
  <si>
    <r>
      <rPr>
        <sz val="12"/>
        <rFont val="Arial"/>
        <family val="2"/>
      </rPr>
      <t>Grbk</t>
    </r>
  </si>
  <si>
    <r>
      <rPr>
        <sz val="12"/>
        <rFont val="Arial"/>
        <family val="2"/>
      </rPr>
      <t>Strl</t>
    </r>
  </si>
  <si>
    <r>
      <rPr>
        <sz val="12"/>
        <rFont val="Arial"/>
        <family val="2"/>
      </rPr>
      <t>Tmus</t>
    </r>
  </si>
  <si>
    <r>
      <rPr>
        <sz val="12"/>
        <rFont val="Arial"/>
        <family val="2"/>
      </rPr>
      <t>Cls</t>
    </r>
  </si>
  <si>
    <r>
      <rPr>
        <sz val="12"/>
        <rFont val="Arial"/>
        <family val="2"/>
      </rPr>
      <t>Mfc</t>
    </r>
  </si>
  <si>
    <r>
      <rPr>
        <sz val="12"/>
        <rFont val="Arial"/>
        <family val="2"/>
      </rPr>
      <t>Dino</t>
    </r>
  </si>
  <si>
    <r>
      <rPr>
        <sz val="12"/>
        <rFont val="Arial"/>
        <family val="2"/>
      </rPr>
      <t>Pep</t>
    </r>
  </si>
  <si>
    <t>Blk</t>
  </si>
  <si>
    <t>ABB Ltd</t>
  </si>
  <si>
    <t>Abbott Laboratories</t>
  </si>
  <si>
    <t>Adobe Inc</t>
  </si>
  <si>
    <t>Advanced Micro Devices, Inc.</t>
  </si>
  <si>
    <t>Airbus SE</t>
  </si>
  <si>
    <t>Alphabet Inc Class A</t>
  </si>
  <si>
    <t>American Express Company</t>
  </si>
  <si>
    <t>American Tower Corp</t>
  </si>
  <si>
    <t>Anheuser-Busch Inbev SA</t>
  </si>
  <si>
    <t>Apple Inc</t>
  </si>
  <si>
    <t>ASML Holding NV</t>
  </si>
  <si>
    <t>AstraZeneca plc</t>
  </si>
  <si>
    <t>Banco Bilbao Vizcaya Argentaria SA</t>
  </si>
  <si>
    <t>Banco Santander SA</t>
  </si>
  <si>
    <t>Bank of America Corp</t>
  </si>
  <si>
    <t>BHP Group Ltd</t>
  </si>
  <si>
    <t>BlackRock Inc</t>
  </si>
  <si>
    <t>BNP Paribas SA</t>
  </si>
  <si>
    <t>Booking Holdings Inc</t>
  </si>
  <si>
    <t>BP plc</t>
  </si>
  <si>
    <t>Broadcom Inc</t>
  </si>
  <si>
    <t>Carrier Global Corp</t>
  </si>
  <si>
    <t>Caterpillar Inc.</t>
  </si>
  <si>
    <t>Charles Schwab Corporation Common Stock</t>
  </si>
  <si>
    <t>Chevron Corporation</t>
  </si>
  <si>
    <t>Citigroup Inc</t>
  </si>
  <si>
    <t>Costco Wholesale Corporation</t>
  </si>
  <si>
    <t>Danaher Corporation</t>
  </si>
  <si>
    <t>Edwards Lifesciences Corp</t>
  </si>
  <si>
    <t>Exxon Mobil Corp</t>
  </si>
  <si>
    <t>Ford Motor Co</t>
  </si>
  <si>
    <t>Freeport-McMoRan Inc</t>
  </si>
  <si>
    <t>Goldman Sachs Group Inc</t>
  </si>
  <si>
    <t>GSK plc</t>
  </si>
  <si>
    <t>Home Depot Inc</t>
  </si>
  <si>
    <t>Illinois Tool Works Inc.</t>
  </si>
  <si>
    <t>Intesa Sanpaolo SpA</t>
  </si>
  <si>
    <t>Intuit Inc.</t>
  </si>
  <si>
    <t>Intuitive Surgical, Inc.</t>
  </si>
  <si>
    <t>iShares MSCI Japan UCITS ETF USD (Dist)</t>
  </si>
  <si>
    <t>JPMorgan Chase &amp; Co</t>
  </si>
  <si>
    <t>L'Oreal SA</t>
  </si>
  <si>
    <t>Lam Research Corporation</t>
  </si>
  <si>
    <t>LVMH Moet Hennessy Louis Vuitton SE</t>
  </si>
  <si>
    <t>Mastercard Inc</t>
  </si>
  <si>
    <t>Medtronic PLC</t>
  </si>
  <si>
    <t>Merck &amp; Co Inc</t>
  </si>
  <si>
    <t>Meta Platforms Inc</t>
  </si>
  <si>
    <t>MGM Resorts International</t>
  </si>
  <si>
    <t>Microsoft Corp</t>
  </si>
  <si>
    <t>Morgan Stanley</t>
  </si>
  <si>
    <t>Nestle SA</t>
  </si>
  <si>
    <t>Netflix Inc</t>
  </si>
  <si>
    <t>Nike Inc</t>
  </si>
  <si>
    <t>Norfolk Southern Corp</t>
  </si>
  <si>
    <t>Novo Nordisk A/S</t>
  </si>
  <si>
    <t>NVIDIA Corp</t>
  </si>
  <si>
    <t>Oracle Corp</t>
  </si>
  <si>
    <t>PepsiCo, Inc.</t>
  </si>
  <si>
    <t>Procter &amp; Gamble Co</t>
  </si>
  <si>
    <t>Rio Tinto plc ADR Common Stock</t>
  </si>
  <si>
    <t>Rtx Corp</t>
  </si>
  <si>
    <t>Sanofi SA</t>
  </si>
  <si>
    <t>ServiceNow Inc</t>
  </si>
  <si>
    <t>Shell PLC</t>
  </si>
  <si>
    <t>Siemens AG</t>
  </si>
  <si>
    <t>Sony Group Corp</t>
  </si>
  <si>
    <t>Starbucks Corp</t>
  </si>
  <si>
    <t>Stryker Corp</t>
  </si>
  <si>
    <t>Taiwan Semiconductor Mfg. Co. Ltd.</t>
  </si>
  <si>
    <t>Thermo Fisher Scientific Inc</t>
  </si>
  <si>
    <t>TotalEnergies SE</t>
  </si>
  <si>
    <t>UnitedHealth Group Inc</t>
  </si>
  <si>
    <t>Visa Inc</t>
  </si>
  <si>
    <t>VOLKSWAGEN GROUP Common Stock</t>
  </si>
  <si>
    <t>Walmart Inc</t>
  </si>
  <si>
    <t>Walt Disney Co</t>
  </si>
  <si>
    <t>Woodside Energy Group ADR</t>
  </si>
  <si>
    <t>ABBN.SW</t>
  </si>
  <si>
    <t>ABT</t>
  </si>
  <si>
    <t>AIR.PA</t>
  </si>
  <si>
    <t>ABI.BR</t>
  </si>
  <si>
    <t>ASML</t>
  </si>
  <si>
    <t>AZN</t>
  </si>
  <si>
    <t>BBVA</t>
  </si>
  <si>
    <t>SAN</t>
  </si>
  <si>
    <t>BAC</t>
  </si>
  <si>
    <t>BHP</t>
  </si>
  <si>
    <t>BKNG</t>
  </si>
  <si>
    <t>BP</t>
  </si>
  <si>
    <t>SCHW</t>
  </si>
  <si>
    <t>CVX</t>
  </si>
  <si>
    <t>C</t>
  </si>
  <si>
    <t>COST</t>
  </si>
  <si>
    <t>DHR</t>
  </si>
  <si>
    <t>XOM</t>
  </si>
  <si>
    <t>F</t>
  </si>
  <si>
    <t>FCX</t>
  </si>
  <si>
    <t>GS</t>
  </si>
  <si>
    <t>GSK</t>
  </si>
  <si>
    <t>ISP</t>
  </si>
  <si>
    <t>INTU</t>
  </si>
  <si>
    <t>ISRG</t>
  </si>
  <si>
    <t>IJPU.L</t>
  </si>
  <si>
    <t>JPM</t>
  </si>
  <si>
    <t>LRCX</t>
  </si>
  <si>
    <t>MA</t>
  </si>
  <si>
    <t>MDT</t>
  </si>
  <si>
    <t>MRK</t>
  </si>
  <si>
    <t>MGM</t>
  </si>
  <si>
    <t>MS</t>
  </si>
  <si>
    <t>NESN.SW</t>
  </si>
  <si>
    <t>NFLX</t>
  </si>
  <si>
    <t>NSC</t>
  </si>
  <si>
    <t>PG</t>
  </si>
  <si>
    <t>RIO</t>
  </si>
  <si>
    <t>RTX</t>
  </si>
  <si>
    <t>CRM</t>
  </si>
  <si>
    <t>NOW</t>
  </si>
  <si>
    <t>SHEL</t>
  </si>
  <si>
    <t>SIE.DE</t>
  </si>
  <si>
    <t>SYK</t>
  </si>
  <si>
    <t>TSM</t>
  </si>
  <si>
    <t>TMO</t>
  </si>
  <si>
    <t>TTE</t>
  </si>
  <si>
    <t>WMT</t>
  </si>
  <si>
    <t>WDS</t>
  </si>
  <si>
    <t>NOV.DE</t>
  </si>
  <si>
    <t>SBUX</t>
  </si>
  <si>
    <t>IS3N.DE</t>
  </si>
  <si>
    <t>iShares Core MSCI EM IMI UCITS ETF</t>
  </si>
  <si>
    <t>VETA.L</t>
  </si>
  <si>
    <t>Vanguard EUR Eurozone Government Bond</t>
  </si>
  <si>
    <t>HYLA.L</t>
  </si>
  <si>
    <t>iShares Global High Yield Corp Bond</t>
  </si>
  <si>
    <t>iShares S&amp;P 500 Information Technology Sector</t>
  </si>
  <si>
    <t xml:space="preserve">Vanguard ESG EUR Corporate Bond </t>
  </si>
  <si>
    <t>SIVBQ</t>
  </si>
  <si>
    <t>&lt;</t>
  </si>
  <si>
    <t>Berkshire Hathaway</t>
  </si>
  <si>
    <t>AAPL - Apple Inc.</t>
  </si>
  <si>
    <t>50.04</t>
  </si>
  <si>
    <t>915,560,382</t>
  </si>
  <si>
    <t>$171.21</t>
  </si>
  <si>
    <t>$156,753,093,000</t>
  </si>
  <si>
    <t>$188.31</t>
  </si>
  <si>
    <t>9.99%</t>
  </si>
  <si>
    <t>$142.94</t>
  </si>
  <si>
    <t>$199.62</t>
  </si>
  <si>
    <t>≡</t>
  </si>
  <si>
    <t>BAC - Bank of America Corp.</t>
  </si>
  <si>
    <t>9.03</t>
  </si>
  <si>
    <t>1,032,852,006</t>
  </si>
  <si>
    <t>$27.38</t>
  </si>
  <si>
    <t>$28,279,489,000</t>
  </si>
  <si>
    <t>$33.12</t>
  </si>
  <si>
    <t>20.96%</t>
  </si>
  <si>
    <t>$24.76</t>
  </si>
  <si>
    <t>$35.25</t>
  </si>
  <si>
    <t>AXP - American Express</t>
  </si>
  <si>
    <t>7.22</t>
  </si>
  <si>
    <t>151,610,700</t>
  </si>
  <si>
    <t>$149.19</t>
  </si>
  <si>
    <t>$22,618,800,000</t>
  </si>
  <si>
    <t>$211.21</t>
  </si>
  <si>
    <t>41.57%</t>
  </si>
  <si>
    <t>$140.46</t>
  </si>
  <si>
    <t>$211.33</t>
  </si>
  <si>
    <t>KO - Coca Cola Co.</t>
  </si>
  <si>
    <t>7.15</t>
  </si>
  <si>
    <t>400,000,000</t>
  </si>
  <si>
    <t>$55.98</t>
  </si>
  <si>
    <t>$22,392,001,000</t>
  </si>
  <si>
    <t>$59.84</t>
  </si>
  <si>
    <t>6.90%</t>
  </si>
  <si>
    <t>$51.14</t>
  </si>
  <si>
    <t>$63.49</t>
  </si>
  <si>
    <t>CVX - Chevron Corp.</t>
  </si>
  <si>
    <t>5.93</t>
  </si>
  <si>
    <t>Reduce 10.45%</t>
  </si>
  <si>
    <t>110,248,289</t>
  </si>
  <si>
    <t>$168.62</t>
  </si>
  <si>
    <t>$18,590,066,000</t>
  </si>
  <si>
    <t>$154.06</t>
  </si>
  <si>
    <t>-8.63%</t>
  </si>
  <si>
    <t>$139.62</t>
  </si>
  <si>
    <t>$169.92</t>
  </si>
  <si>
    <t>OXY - Occidental Petroleum</t>
  </si>
  <si>
    <t>4.64</t>
  </si>
  <si>
    <t>224,129,192</t>
  </si>
  <si>
    <t>$64.88</t>
  </si>
  <si>
    <t>$14,541,502,000</t>
  </si>
  <si>
    <t>$58.09</t>
  </si>
  <si>
    <t>-10.47%</t>
  </si>
  <si>
    <t>$55.02</t>
  </si>
  <si>
    <t>$67.45</t>
  </si>
  <si>
    <t>KHC - Kraft Heinz Co.</t>
  </si>
  <si>
    <t>3.50</t>
  </si>
  <si>
    <t>325,634,818</t>
  </si>
  <si>
    <t>$33.64</t>
  </si>
  <si>
    <t>$10,954,355,000</t>
  </si>
  <si>
    <t>$36.48</t>
  </si>
  <si>
    <t>8.44%</t>
  </si>
  <si>
    <t>$29.98</t>
  </si>
  <si>
    <t>$39.57</t>
  </si>
  <si>
    <t>MCO - Moody's Corp.</t>
  </si>
  <si>
    <t>2.49</t>
  </si>
  <si>
    <t>24,669,778</t>
  </si>
  <si>
    <t>$316.17</t>
  </si>
  <si>
    <t>$7,799,844,000</t>
  </si>
  <si>
    <t>$398.02</t>
  </si>
  <si>
    <t>25.89%</t>
  </si>
  <si>
    <t>$276.31</t>
  </si>
  <si>
    <t>$406.30</t>
  </si>
  <si>
    <t>DVA - DaVita HealthCare Partners</t>
  </si>
  <si>
    <t>1.09</t>
  </si>
  <si>
    <t>36,095,570</t>
  </si>
  <si>
    <t>$94.53</t>
  </si>
  <si>
    <t>$3,412,114,000</t>
  </si>
  <si>
    <t>$110.85</t>
  </si>
  <si>
    <t>17.26%</t>
  </si>
  <si>
    <t>$71.51</t>
  </si>
  <si>
    <t>$116.97</t>
  </si>
  <si>
    <t>HPQ - HP Inc.</t>
  </si>
  <si>
    <t>0.84</t>
  </si>
  <si>
    <t>Reduce 15.24%</t>
  </si>
  <si>
    <t>102,519,035</t>
  </si>
  <si>
    <t>$25.70</t>
  </si>
  <si>
    <t>$2,634,739,000</t>
  </si>
  <si>
    <t>$28.29</t>
  </si>
  <si>
    <t>10.08%</t>
  </si>
  <si>
    <t>$24.99</t>
  </si>
  <si>
    <t>$33.29</t>
  </si>
  <si>
    <t>VRSN - Verisign Inc.</t>
  </si>
  <si>
    <t>0.83</t>
  </si>
  <si>
    <t>12,815,613</t>
  </si>
  <si>
    <t>$202.53</t>
  </si>
  <si>
    <t>$2,595,546,000</t>
  </si>
  <si>
    <t>$201.15</t>
  </si>
  <si>
    <t>-0.68%</t>
  </si>
  <si>
    <t>$188.44</t>
  </si>
  <si>
    <t>$229.72</t>
  </si>
  <si>
    <t>C - Citigroup Inc.</t>
  </si>
  <si>
    <t>0.73</t>
  </si>
  <si>
    <t>55,244,797</t>
  </si>
  <si>
    <t>$41.13</t>
  </si>
  <si>
    <t>$2,272,219,000</t>
  </si>
  <si>
    <t>$54.31</t>
  </si>
  <si>
    <t>32.04%</t>
  </si>
  <si>
    <t>$37.32</t>
  </si>
  <si>
    <t>$57.40</t>
  </si>
  <si>
    <t>KR - Kroger Co.</t>
  </si>
  <si>
    <t>0.71</t>
  </si>
  <si>
    <t>50,000,000</t>
  </si>
  <si>
    <t>$44.75</t>
  </si>
  <si>
    <t>$2,237,500,000</t>
  </si>
  <si>
    <t>$45.44</t>
  </si>
  <si>
    <t>1.54%</t>
  </si>
  <si>
    <t>$42.06</t>
  </si>
  <si>
    <t>$49.73</t>
  </si>
  <si>
    <t>V - Visa Inc.</t>
  </si>
  <si>
    <t>0.61</t>
  </si>
  <si>
    <t>8,297,460</t>
  </si>
  <si>
    <t>$230.01</t>
  </si>
  <si>
    <t>$1,908,499,000</t>
  </si>
  <si>
    <t>$275.82</t>
  </si>
  <si>
    <t>19.92%</t>
  </si>
  <si>
    <t>$207.13</t>
  </si>
  <si>
    <t>$279.66</t>
  </si>
  <si>
    <t>CHTR - Charter Communications</t>
  </si>
  <si>
    <t>0.54</t>
  </si>
  <si>
    <t>3,828,941</t>
  </si>
  <si>
    <t>$439.82</t>
  </si>
  <si>
    <t>$1,684,045,000</t>
  </si>
  <si>
    <t>$282.59</t>
  </si>
  <si>
    <t>-35.75%</t>
  </si>
  <si>
    <t>$282.54</t>
  </si>
  <si>
    <t>$458.30</t>
  </si>
  <si>
    <t>MA - Mastercard Inc.</t>
  </si>
  <si>
    <t>0.50</t>
  </si>
  <si>
    <t>3,986,648</t>
  </si>
  <si>
    <t>$395.91</t>
  </si>
  <si>
    <t>$1,578,354,000</t>
  </si>
  <si>
    <t>$458.49</t>
  </si>
  <si>
    <t>15.81%</t>
  </si>
  <si>
    <t>$338.16</t>
  </si>
  <si>
    <t>$463.84</t>
  </si>
  <si>
    <t>AON - Aon Plc</t>
  </si>
  <si>
    <t>0.42</t>
  </si>
  <si>
    <t>Reduce 5.42%</t>
  </si>
  <si>
    <t>4,100,000</t>
  </si>
  <si>
    <t>$324.22</t>
  </si>
  <si>
    <t>$1,329,302,000</t>
  </si>
  <si>
    <t>$307.04</t>
  </si>
  <si>
    <t>-5.30%</t>
  </si>
  <si>
    <t>$278.70</t>
  </si>
  <si>
    <t>$345.30</t>
  </si>
  <si>
    <t>AMZN - Amazon.com Inc.</t>
  </si>
  <si>
    <t>0.41</t>
  </si>
  <si>
    <t>Reduce 5.22%</t>
  </si>
  <si>
    <t>10,000,000</t>
  </si>
  <si>
    <t>$127.12</t>
  </si>
  <si>
    <t>$1,271,200,000</t>
  </si>
  <si>
    <t>$169.88</t>
  </si>
  <si>
    <t>33.64%</t>
  </si>
  <si>
    <t>$88.12</t>
  </si>
  <si>
    <t>$172.50</t>
  </si>
  <si>
    <t>COF - Capital One Financial</t>
  </si>
  <si>
    <t>0.39</t>
  </si>
  <si>
    <t>12,471,030</t>
  </si>
  <si>
    <t>$97.05</t>
  </si>
  <si>
    <t>$1,210,313,000</t>
  </si>
  <si>
    <t>$135.45</t>
  </si>
  <si>
    <t>39.57%</t>
  </si>
  <si>
    <t>$82.44</t>
  </si>
  <si>
    <t>$140.86</t>
  </si>
  <si>
    <t>PARA - Paramount Global CL B</t>
  </si>
  <si>
    <t>93,730,975</t>
  </si>
  <si>
    <t>$12.90</t>
  </si>
  <si>
    <t>$1,209,129,000</t>
  </si>
  <si>
    <t>$13.02</t>
  </si>
  <si>
    <t>0.93%</t>
  </si>
  <si>
    <t>$10.44</t>
  </si>
  <si>
    <t>$23.88</t>
  </si>
  <si>
    <t>LSXMK - Liberty SiriusXM Series C</t>
  </si>
  <si>
    <t>0.35</t>
  </si>
  <si>
    <t>43,208,291</t>
  </si>
  <si>
    <t>$25.46</t>
  </si>
  <si>
    <t>$1,100,083,000</t>
  </si>
  <si>
    <t>$30.22</t>
  </si>
  <si>
    <t>18.70%</t>
  </si>
  <si>
    <t>$22.24</t>
  </si>
  <si>
    <t>$31.67</t>
  </si>
  <si>
    <t>SNOW - Snowflake Inc.</t>
  </si>
  <si>
    <t>0.30</t>
  </si>
  <si>
    <t>6,125,376</t>
  </si>
  <si>
    <t>$152.77</t>
  </si>
  <si>
    <t>$935,774,000</t>
  </si>
  <si>
    <t>$222.93</t>
  </si>
  <si>
    <t>45.93%</t>
  </si>
  <si>
    <t>$128.56</t>
  </si>
  <si>
    <t>$226.29</t>
  </si>
  <si>
    <t>ALLY - Ally Financial Inc.</t>
  </si>
  <si>
    <t>0.25</t>
  </si>
  <si>
    <t>29,000,000</t>
  </si>
  <si>
    <t>$26.68</t>
  </si>
  <si>
    <t>$773,719,000</t>
  </si>
  <si>
    <t>$36.19</t>
  </si>
  <si>
    <t>35.64%</t>
  </si>
  <si>
    <t>$20.69</t>
  </si>
  <si>
    <t>$37.73</t>
  </si>
  <si>
    <t>NU - Nu Holdings Ltd</t>
  </si>
  <si>
    <t>107,118,784</t>
  </si>
  <si>
    <t>$7.25</t>
  </si>
  <si>
    <t>$776,611,000</t>
  </si>
  <si>
    <t>$9.64</t>
  </si>
  <si>
    <t>32.97%</t>
  </si>
  <si>
    <t>$4.13</t>
  </si>
  <si>
    <t>$9.67</t>
  </si>
  <si>
    <t>TMUS - T-Mobile US Inc.</t>
  </si>
  <si>
    <t>0.23</t>
  </si>
  <si>
    <t>5,242,000</t>
  </si>
  <si>
    <t>$140.05</t>
  </si>
  <si>
    <t>$734,143,000</t>
  </si>
  <si>
    <t>$160.92</t>
  </si>
  <si>
    <t>14.90%</t>
  </si>
  <si>
    <t>$123.84</t>
  </si>
  <si>
    <t>$165.95</t>
  </si>
  <si>
    <t>DHI - D.R. Horton</t>
  </si>
  <si>
    <t>0.20</t>
  </si>
  <si>
    <t>5,969,714</t>
  </si>
  <si>
    <t>$107.47</t>
  </si>
  <si>
    <t>$641,565,000</t>
  </si>
  <si>
    <t>$144.66</t>
  </si>
  <si>
    <t>34.61%</t>
  </si>
  <si>
    <t>$88.28</t>
  </si>
  <si>
    <t>$157.60</t>
  </si>
  <si>
    <t>LSXMA - Liberty Sirius XM Series A</t>
  </si>
  <si>
    <t>0.16</t>
  </si>
  <si>
    <t>20,207,680</t>
  </si>
  <si>
    <t>$25.45</t>
  </si>
  <si>
    <t>$514,286,000</t>
  </si>
  <si>
    <t>$30.38</t>
  </si>
  <si>
    <t>19.37%</t>
  </si>
  <si>
    <t>$22.01</t>
  </si>
  <si>
    <t>$31.69</t>
  </si>
  <si>
    <t>FWONK - Liberty Media Corp Formula One Series C</t>
  </si>
  <si>
    <t>0.15</t>
  </si>
  <si>
    <t>7,722,451</t>
  </si>
  <si>
    <t>$62.30</t>
  </si>
  <si>
    <t>$481,109,000</t>
  </si>
  <si>
    <t>$66.06</t>
  </si>
  <si>
    <t>6.04%</t>
  </si>
  <si>
    <t>$60.95</t>
  </si>
  <si>
    <t>$78.58</t>
  </si>
  <si>
    <t>FND - Floor &amp; Decor Holdings</t>
  </si>
  <si>
    <t>0.14</t>
  </si>
  <si>
    <t>4,780,000</t>
  </si>
  <si>
    <t>$90.50</t>
  </si>
  <si>
    <t>$432,591,000</t>
  </si>
  <si>
    <t>$106.47</t>
  </si>
  <si>
    <t>17.65%</t>
  </si>
  <si>
    <t>$76.30</t>
  </si>
  <si>
    <t>$116.70</t>
  </si>
  <si>
    <t>LPX - Louisiana-Pacific Corp.</t>
  </si>
  <si>
    <t>0.12</t>
  </si>
  <si>
    <t>7,044,909</t>
  </si>
  <si>
    <t>$55.27</t>
  </si>
  <si>
    <t>$389,372,000</t>
  </si>
  <si>
    <t>$69.09</t>
  </si>
  <si>
    <t>25.00%</t>
  </si>
  <si>
    <t>$49.27</t>
  </si>
  <si>
    <t>$78.94</t>
  </si>
  <si>
    <t>LLYVK - Liberty Media Corp. Series C Live</t>
  </si>
  <si>
    <t>0.11</t>
  </si>
  <si>
    <t>Buy</t>
  </si>
  <si>
    <t>11,132,590</t>
  </si>
  <si>
    <t>$32.10</t>
  </si>
  <si>
    <t>$357,356,000</t>
  </si>
  <si>
    <t>$36.80</t>
  </si>
  <si>
    <t>14.64%</t>
  </si>
  <si>
    <t>$29.63</t>
  </si>
  <si>
    <t>$39.00</t>
  </si>
  <si>
    <t>MKL - Markel Group Inc.</t>
  </si>
  <si>
    <t>0.07</t>
  </si>
  <si>
    <t>Reduce 66.35%</t>
  </si>
  <si>
    <t>$1472.49</t>
  </si>
  <si>
    <t>$233,707,000</t>
  </si>
  <si>
    <t>$1408.39</t>
  </si>
  <si>
    <t>-4.35%</t>
  </si>
  <si>
    <t>$1186.56</t>
  </si>
  <si>
    <t>$1560.00</t>
  </si>
  <si>
    <t>LLYVA - Liberty Media Corp. Series A Live</t>
  </si>
  <si>
    <t>0.05</t>
  </si>
  <si>
    <t>5,051,918</t>
  </si>
  <si>
    <t>$31.92</t>
  </si>
  <si>
    <t>$161,257,000</t>
  </si>
  <si>
    <t>$36.12</t>
  </si>
  <si>
    <t>13.16%</t>
  </si>
  <si>
    <t>$29.48</t>
  </si>
  <si>
    <t>$37.62</t>
  </si>
  <si>
    <t>STNE - StoneCo Ltd.</t>
  </si>
  <si>
    <t>0.04</t>
  </si>
  <si>
    <t>10,695,448</t>
  </si>
  <si>
    <t>$10.67</t>
  </si>
  <si>
    <t>$114,120,000</t>
  </si>
  <si>
    <t>$18.17</t>
  </si>
  <si>
    <t>70.29%</t>
  </si>
  <si>
    <t>$8.09</t>
  </si>
  <si>
    <t>$18.87</t>
  </si>
  <si>
    <t>GL - Globe Life Inc.</t>
  </si>
  <si>
    <t>0.03</t>
  </si>
  <si>
    <t>Reduce 66.97%</t>
  </si>
  <si>
    <t>$108.73</t>
  </si>
  <si>
    <t>$90,356,000</t>
  </si>
  <si>
    <t>$124.98</t>
  </si>
  <si>
    <t>14.95%</t>
  </si>
  <si>
    <t>$101.62</t>
  </si>
  <si>
    <t>$125.18</t>
  </si>
  <si>
    <t>NVR - NVR Inc.</t>
  </si>
  <si>
    <t>0.02</t>
  </si>
  <si>
    <t>$5963.28</t>
  </si>
  <si>
    <t>$66,264,000</t>
  </si>
  <si>
    <t>$7486.04</t>
  </si>
  <si>
    <t>25.54%</t>
  </si>
  <si>
    <t>$5000.90</t>
  </si>
  <si>
    <t>$7497.66</t>
  </si>
  <si>
    <t>DEO - Diageo ADR</t>
  </si>
  <si>
    <t>0.01</t>
  </si>
  <si>
    <t>$149.18</t>
  </si>
  <si>
    <t>$33,976,000</t>
  </si>
  <si>
    <t>$147.84</t>
  </si>
  <si>
    <t>-0.90%</t>
  </si>
  <si>
    <t>$135.63</t>
  </si>
  <si>
    <t>$187.20</t>
  </si>
  <si>
    <t>JEF - Jefferies Financial Group Inc.</t>
  </si>
  <si>
    <t>$36.63</t>
  </si>
  <si>
    <t>$15,881,000</t>
  </si>
  <si>
    <t>$40.31</t>
  </si>
  <si>
    <t>10.05%</t>
  </si>
  <si>
    <t>$27.57</t>
  </si>
  <si>
    <t>$41.82</t>
  </si>
  <si>
    <t>LILA - Liberty LiLAC Group A</t>
  </si>
  <si>
    <t>2,630,792</t>
  </si>
  <si>
    <t>$8.16</t>
  </si>
  <si>
    <t>$21,468,000</t>
  </si>
  <si>
    <t>$6.78</t>
  </si>
  <si>
    <t>-16.91%</t>
  </si>
  <si>
    <t>$6.36</t>
  </si>
  <si>
    <t>$9.85</t>
  </si>
  <si>
    <t>SIRI - Sirius XM Holdings Inc.</t>
  </si>
  <si>
    <t>9,683,224</t>
  </si>
  <si>
    <t>$4.52</t>
  </si>
  <si>
    <t>$43,768,000</t>
  </si>
  <si>
    <t>$5.00</t>
  </si>
  <si>
    <t>10.62%</t>
  </si>
  <si>
    <t>$3.19</t>
  </si>
  <si>
    <t>$7.75</t>
  </si>
  <si>
    <t>SPY - SPDR S&amp;P 500 ETF Trust</t>
  </si>
  <si>
    <t>$427.49</t>
  </si>
  <si>
    <t>$16,843,000</t>
  </si>
  <si>
    <t>$498.47</t>
  </si>
  <si>
    <t>16.60%</t>
  </si>
  <si>
    <t>$372.25</t>
  </si>
  <si>
    <t>$498.68</t>
  </si>
  <si>
    <t>VOO - Vanguard S&amp;P 500 ETF</t>
  </si>
  <si>
    <t>$392.70</t>
  </si>
  <si>
    <t>$16,886,000</t>
  </si>
  <si>
    <t>$458.06</t>
  </si>
  <si>
    <t>16.64%</t>
  </si>
  <si>
    <t>$340.17</t>
  </si>
  <si>
    <t>$458.32</t>
  </si>
  <si>
    <t>BATRK - Atlanta Braves Holdings Inc. Series C</t>
  </si>
  <si>
    <t>0.00</t>
  </si>
  <si>
    <t>$35.73</t>
  </si>
  <si>
    <t>$7,991,000</t>
  </si>
  <si>
    <t>$40.60</t>
  </si>
  <si>
    <t>13.63%</t>
  </si>
  <si>
    <t>$33.95</t>
  </si>
  <si>
    <t>$50.15</t>
  </si>
  <si>
    <t>LEN.B - Lennar Corp. CL B</t>
  </si>
  <si>
    <t>$102.23</t>
  </si>
  <si>
    <t>$15,597,000</t>
  </si>
  <si>
    <t>$142.22</t>
  </si>
  <si>
    <t>39.12%</t>
  </si>
  <si>
    <t>$78.13</t>
  </si>
  <si>
    <t>$144.17</t>
  </si>
  <si>
    <t>LILAK - Liberty LiLAC Group C</t>
  </si>
  <si>
    <t>BAC </t>
  </si>
  <si>
    <t>American Express</t>
  </si>
  <si>
    <t xml:space="preserve"> Coca Cola Co</t>
  </si>
  <si>
    <t>Chevron Corp</t>
  </si>
  <si>
    <t>ABG.BE</t>
  </si>
  <si>
    <t>Occidental Petroleum</t>
  </si>
  <si>
    <t>OXY</t>
  </si>
  <si>
    <t>KHC </t>
  </si>
  <si>
    <t>Kraft Heinz Co</t>
  </si>
  <si>
    <t> Moody's Corp</t>
  </si>
  <si>
    <t> DaVita HealthCare Partners</t>
  </si>
  <si>
    <t>HPQ</t>
  </si>
  <si>
    <t> HP Inc</t>
  </si>
  <si>
    <t>VRSN</t>
  </si>
  <si>
    <t>Verisign Inc</t>
  </si>
  <si>
    <t> Citigroup Inc</t>
  </si>
  <si>
    <t>KR</t>
  </si>
  <si>
    <t> Kroger Co</t>
  </si>
  <si>
    <t>CHTR</t>
  </si>
  <si>
    <t> Charter Communications</t>
  </si>
  <si>
    <t>Banco Bilbao Vizcaya Argentaria</t>
  </si>
  <si>
    <t>LQDE.MI</t>
  </si>
  <si>
    <t>iShares $ Corp Bond</t>
  </si>
  <si>
    <t>IS3Q.DE</t>
  </si>
  <si>
    <t>iShares Edge MSCI World Quality Factor</t>
  </si>
  <si>
    <t>IS3R.DE</t>
  </si>
  <si>
    <t>iShares Edge MSCI World Momentum Factor</t>
  </si>
  <si>
    <t>Bitcoin USD</t>
  </si>
  <si>
    <t>XAD5.MI</t>
  </si>
  <si>
    <t xml:space="preserve">Xtrackers Physical Gold </t>
  </si>
  <si>
    <t>IWMO.MI</t>
  </si>
  <si>
    <t>IUSE.MI</t>
  </si>
  <si>
    <t>iShares STOXX Europe 600 UCITS ETF (DE) ()</t>
  </si>
  <si>
    <t>EXSA.DE</t>
  </si>
  <si>
    <t>IEMB.L</t>
  </si>
  <si>
    <t>iShares STOXX Global Select Dividend 100</t>
  </si>
  <si>
    <t>ISPA.DE</t>
  </si>
  <si>
    <t>VLUE</t>
  </si>
  <si>
    <t>VFEM.MI</t>
  </si>
  <si>
    <t>VHYL.MI</t>
  </si>
  <si>
    <t>VCLT</t>
  </si>
  <si>
    <t>TREASURY 20+</t>
  </si>
  <si>
    <t>GIAPPONE</t>
  </si>
  <si>
    <t>CSPXJ.MI</t>
  </si>
  <si>
    <t>EURO STOXX 50</t>
  </si>
  <si>
    <t>S&amp;P 500 UCITS</t>
  </si>
  <si>
    <t>ZPRS.DE</t>
  </si>
  <si>
    <t>MSCI World Small Cap</t>
  </si>
  <si>
    <t>JPGL.DE</t>
  </si>
  <si>
    <t>CSJP.MI</t>
  </si>
  <si>
    <t>MSCI Japan UCITS</t>
  </si>
  <si>
    <t>Ethereum USD</t>
  </si>
  <si>
    <t>USDT-USD</t>
  </si>
  <si>
    <t>Tether USDt USD</t>
  </si>
  <si>
    <t>BNB-USD</t>
  </si>
  <si>
    <t>BNB USD</t>
  </si>
  <si>
    <t>SOL-USD</t>
  </si>
  <si>
    <t>Solana USD</t>
  </si>
  <si>
    <t>STETH-USD</t>
  </si>
  <si>
    <t>Lido Staked ETH USD</t>
  </si>
  <si>
    <t>XRP-USD</t>
  </si>
  <si>
    <t>XRP USD</t>
  </si>
  <si>
    <t>USDC-USD</t>
  </si>
  <si>
    <t>USD Coin USD</t>
  </si>
  <si>
    <t>DOGE-USD</t>
  </si>
  <si>
    <t>Dogecoin USD</t>
  </si>
  <si>
    <t>TON11419-USD</t>
  </si>
  <si>
    <t>Toncoin USD</t>
  </si>
  <si>
    <t>ADA-USD</t>
  </si>
  <si>
    <t>Cardano USD</t>
  </si>
  <si>
    <t>AVAX-USD</t>
  </si>
  <si>
    <t>Avalanche USD</t>
  </si>
  <si>
    <t>SHIB-USD</t>
  </si>
  <si>
    <t>Shiba Inu USD</t>
  </si>
  <si>
    <t>BCH-USD</t>
  </si>
  <si>
    <t>Bitcoin Cash USD</t>
  </si>
  <si>
    <t>DOT-USD</t>
  </si>
  <si>
    <t>Polkadot USD</t>
  </si>
  <si>
    <t>WBTC-USD</t>
  </si>
  <si>
    <t>Wrapped Bitcoin USD</t>
  </si>
  <si>
    <t>TRX-USD</t>
  </si>
  <si>
    <t>TRON USD</t>
  </si>
  <si>
    <t>WTRX-USD</t>
  </si>
  <si>
    <t>Wrapped TRON USD</t>
  </si>
  <si>
    <t>LINK-USD</t>
  </si>
  <si>
    <t>Chainlink USD</t>
  </si>
  <si>
    <t>MATIC-USD</t>
  </si>
  <si>
    <t>Polygon USD</t>
  </si>
  <si>
    <t>NEAR-USD</t>
  </si>
  <si>
    <t>NEAR Protocol USD</t>
  </si>
  <si>
    <t>ICP-USD</t>
  </si>
  <si>
    <t>Internet Computer USD</t>
  </si>
  <si>
    <t>LTC-USD</t>
  </si>
  <si>
    <t>Litecoin USD</t>
  </si>
  <si>
    <t>DB43.VI</t>
  </si>
  <si>
    <t>EONIA</t>
  </si>
  <si>
    <t>0P0001DIJA</t>
  </si>
  <si>
    <t>EMIM.AS</t>
  </si>
  <si>
    <t>MERCATI EMERGENTI</t>
  </si>
  <si>
    <t>IS0U.MU</t>
  </si>
  <si>
    <t>EUROPA MOMENTUM</t>
  </si>
  <si>
    <t>Core S&amp;P 500 UCITS ETF USD</t>
  </si>
  <si>
    <t xml:space="preserve">MSCI EM IMI </t>
  </si>
  <si>
    <t>AHYE.PA</t>
  </si>
  <si>
    <t xml:space="preserve">Amundi EURO High Yield Bond ESG </t>
  </si>
  <si>
    <t xml:space="preserve">Vanguard USD Treasury Bond </t>
  </si>
  <si>
    <t xml:space="preserve">Vanguard EUR Corporate Bond </t>
  </si>
  <si>
    <t>SXRP.DE</t>
  </si>
  <si>
    <t xml:space="preserve">iShares € Govt Bond 3-7yr </t>
  </si>
  <si>
    <t xml:space="preserve">STOXX Europe 600 </t>
  </si>
  <si>
    <t>CEBZ.DE</t>
  </si>
  <si>
    <t>CSEMAS.MI</t>
  </si>
  <si>
    <t>IMEA.SW</t>
  </si>
  <si>
    <t>CSSX5E.MI</t>
  </si>
  <si>
    <t>EXCH.AS</t>
  </si>
  <si>
    <t>INAA.MI</t>
  </si>
  <si>
    <t>IAUS.L</t>
  </si>
  <si>
    <t>4BRZ.DE</t>
  </si>
  <si>
    <t>CSCA.MI</t>
  </si>
  <si>
    <t>ICGA.DE</t>
  </si>
  <si>
    <t>CSKR.SW</t>
  </si>
  <si>
    <t>DX2G.DE</t>
  </si>
  <si>
    <t>EXS1.MI</t>
  </si>
  <si>
    <t>IJPA.AS</t>
  </si>
  <si>
    <t>NDIA.AS</t>
  </si>
  <si>
    <t>CSMIB.MI</t>
  </si>
  <si>
    <t>XMEX.L</t>
  </si>
  <si>
    <t>XESD.DE</t>
  </si>
  <si>
    <t>S&amp;P 500</t>
  </si>
  <si>
    <t>ITWN.MI</t>
  </si>
  <si>
    <t>TUR.PA</t>
  </si>
  <si>
    <t>EXH5.DE</t>
  </si>
  <si>
    <t>EXV5.DU</t>
  </si>
  <si>
    <t>2B7D.DE</t>
  </si>
  <si>
    <t>XUCD.DE</t>
  </si>
  <si>
    <t>SXLE.MI</t>
  </si>
  <si>
    <t>EXV1.BE</t>
  </si>
  <si>
    <t>XUFN.DE</t>
  </si>
  <si>
    <t>STQX.MI</t>
  </si>
  <si>
    <t>XUIN.DE</t>
  </si>
  <si>
    <t>XLKS.MI</t>
  </si>
  <si>
    <t>XUTC.MI</t>
  </si>
  <si>
    <t>NASDAQ 100</t>
  </si>
  <si>
    <t>STKX.MI</t>
  </si>
  <si>
    <t>XSGI.MI</t>
  </si>
  <si>
    <t>COPX.MI</t>
  </si>
  <si>
    <t>GDIG.L</t>
  </si>
  <si>
    <t>SILV.MI</t>
  </si>
  <si>
    <t>EXH6.DE</t>
  </si>
  <si>
    <t>EXH8.DE</t>
  </si>
  <si>
    <t>QDVG.DE</t>
  </si>
  <si>
    <t>ESIH.DE</t>
  </si>
  <si>
    <t>2B7A.DE</t>
  </si>
  <si>
    <t>STUX.MI</t>
  </si>
  <si>
    <t>XUCM.DE</t>
  </si>
  <si>
    <t>EXV2.BE</t>
  </si>
  <si>
    <t>SPYX.DE</t>
  </si>
  <si>
    <t>XXSC.DE</t>
  </si>
  <si>
    <t>R2US.MI</t>
  </si>
  <si>
    <t>MVUS.MI</t>
  </si>
  <si>
    <t>MVOL.MI</t>
  </si>
  <si>
    <t>MVEU.MI</t>
  </si>
  <si>
    <t>IAPD.MI</t>
  </si>
  <si>
    <t>QDVX.DE</t>
  </si>
  <si>
    <t>QDVW.DE</t>
  </si>
  <si>
    <t>EUNY.DE</t>
  </si>
  <si>
    <t>EMDV.MI</t>
  </si>
  <si>
    <t>XDND.DE</t>
  </si>
  <si>
    <t>EXSB.DE</t>
  </si>
  <si>
    <t>DXJZ.MI</t>
  </si>
  <si>
    <t>EUIR</t>
  </si>
  <si>
    <t>DXJF.MI</t>
  </si>
  <si>
    <t>IUKD.MI</t>
  </si>
  <si>
    <t>QDVD.DE</t>
  </si>
  <si>
    <t>FUSD.MI</t>
  </si>
  <si>
    <t>TSWE.MI</t>
  </si>
  <si>
    <t>XDEW.MI</t>
  </si>
  <si>
    <t>TEET.AS</t>
  </si>
  <si>
    <t>IS38.MU</t>
  </si>
  <si>
    <t>IQQG.DE</t>
  </si>
  <si>
    <t>R1GR.AS</t>
  </si>
  <si>
    <t>EXSC.DE</t>
  </si>
  <si>
    <t>EXI2.DE</t>
  </si>
  <si>
    <t>SPY4.L</t>
  </si>
  <si>
    <t>IS3H.DE</t>
  </si>
  <si>
    <t>IWSZ.MI</t>
  </si>
  <si>
    <t>XDEM.MI</t>
  </si>
  <si>
    <t>IEMO.MI</t>
  </si>
  <si>
    <t>ES50.DE</t>
  </si>
  <si>
    <t>EURO STOXX 50 ESG</t>
  </si>
  <si>
    <t>XSDR.L</t>
  </si>
  <si>
    <t>XS7R.DE</t>
  </si>
  <si>
    <t>XS8R.DE</t>
  </si>
  <si>
    <t>XS3R.L</t>
  </si>
  <si>
    <t>XSNR.L</t>
  </si>
  <si>
    <t>XSKR.L</t>
  </si>
  <si>
    <t>XZEC.DE</t>
  </si>
  <si>
    <t>XZW0.MI</t>
  </si>
  <si>
    <t>WITS.MI</t>
  </si>
  <si>
    <t>WHCS.MI</t>
  </si>
  <si>
    <t>TELEW.MI</t>
  </si>
  <si>
    <t>DISW.MI</t>
  </si>
  <si>
    <t>INDGW.MI</t>
  </si>
  <si>
    <t>WELS.DE</t>
  </si>
  <si>
    <t>STAW.MI</t>
  </si>
  <si>
    <t>WENE.MI</t>
  </si>
  <si>
    <t>WCMS.AS</t>
  </si>
  <si>
    <t>WELL.DE</t>
  </si>
  <si>
    <t>XDNU.L</t>
  </si>
  <si>
    <t>ZA30.DE</t>
  </si>
  <si>
    <t>S&amp;P 500 ESG</t>
  </si>
  <si>
    <t>S&amp;P 500 QVM</t>
  </si>
  <si>
    <t>IFSW.MI</t>
  </si>
  <si>
    <t>IFSE.MI</t>
  </si>
  <si>
    <t>IFSU.MI</t>
  </si>
  <si>
    <t>IWVL.MI</t>
  </si>
  <si>
    <t>QDVI.DE</t>
  </si>
  <si>
    <t>IEVL.MI</t>
  </si>
  <si>
    <t>5MVL.DE</t>
  </si>
  <si>
    <t>R1VL.L</t>
  </si>
  <si>
    <t>Russell 1000 Value</t>
  </si>
  <si>
    <t>XNGI.MI</t>
  </si>
  <si>
    <t>MSCI Next Generation Internet Innovation</t>
  </si>
  <si>
    <t>CBUN.DE</t>
  </si>
  <si>
    <t>Digital Entertainment and Education</t>
  </si>
  <si>
    <t>GDX.L</t>
  </si>
  <si>
    <t>VanEck Gold Miners</t>
  </si>
  <si>
    <t>XFNT.MI</t>
  </si>
  <si>
    <t>MSCI Fintech Innovation</t>
  </si>
  <si>
    <t>XAIX.DE</t>
  </si>
  <si>
    <t>Artificial Intelligence &amp;Big Data</t>
  </si>
  <si>
    <t>QYLD.L</t>
  </si>
  <si>
    <t>Global X NASDAQ 100 Covered Call</t>
  </si>
  <si>
    <t>MTAV.SW</t>
  </si>
  <si>
    <t>Metaverse</t>
  </si>
  <si>
    <t>DFNS.MI</t>
  </si>
  <si>
    <t>Defense ETF</t>
  </si>
  <si>
    <t>XMOV.MI</t>
  </si>
  <si>
    <t>Xtrackers Future Mobility</t>
  </si>
  <si>
    <t>IQQL.DE</t>
  </si>
  <si>
    <t xml:space="preserve">Listed Private Equity </t>
  </si>
  <si>
    <t>SMH</t>
  </si>
  <si>
    <t>VanEck Semiconductor</t>
  </si>
  <si>
    <t>iShares MSCI Global Semiconductors</t>
  </si>
  <si>
    <t>SEME.MI</t>
  </si>
  <si>
    <t>Amundi MSCI Semiconductors ESG Screened</t>
  </si>
  <si>
    <t>CHIP.SW</t>
  </si>
  <si>
    <t>GBSP.L</t>
  </si>
  <si>
    <t>WisdomTree Physical Gold</t>
  </si>
  <si>
    <t>Invesco Physical Silver</t>
  </si>
  <si>
    <t xml:space="preserve"> SSLV.L</t>
  </si>
  <si>
    <t>EUROPA</t>
  </si>
  <si>
    <t>EUROPA 2</t>
  </si>
  <si>
    <t>EUROSTOXX 50</t>
  </si>
  <si>
    <t>WORLD</t>
  </si>
  <si>
    <t>EMERGING MARKET EX CHINA</t>
  </si>
  <si>
    <t>EMERGING MARKET EIMI</t>
  </si>
  <si>
    <t>EMERGING MARKET EIMI EURO</t>
  </si>
  <si>
    <t>NORD AMERICA</t>
  </si>
  <si>
    <t>AUSTRALIA</t>
  </si>
  <si>
    <t>BRASILE</t>
  </si>
  <si>
    <t>CANADA</t>
  </si>
  <si>
    <t>CINA</t>
  </si>
  <si>
    <t>COREA</t>
  </si>
  <si>
    <t>FRANCIA</t>
  </si>
  <si>
    <t>GERMANIA</t>
  </si>
  <si>
    <t>INDIA</t>
  </si>
  <si>
    <t>ITALIA</t>
  </si>
  <si>
    <t>MESSICO</t>
  </si>
  <si>
    <t>UK</t>
  </si>
  <si>
    <t>SPAGNA</t>
  </si>
  <si>
    <t>TAIWAN</t>
  </si>
  <si>
    <t>TURKIA</t>
  </si>
  <si>
    <t>EUROSTOXX EUROPE 600</t>
  </si>
  <si>
    <t xml:space="preserve">EUROSTOXX AUTO E PARTS 600 </t>
  </si>
  <si>
    <t>S&amp;P 500 BENI DI CONSUMO</t>
  </si>
  <si>
    <t>USA CONSUMI DISCREZIONALI</t>
  </si>
  <si>
    <t>ENERGIA MONDIALE</t>
  </si>
  <si>
    <t>USA ENERGIA</t>
  </si>
  <si>
    <t>EUROSTOXX 600 BANCHE</t>
  </si>
  <si>
    <t>USA FINANZIARI</t>
  </si>
  <si>
    <t>EUROPEI INDUSTRIALI</t>
  </si>
  <si>
    <t>USA INDUSTRIALI</t>
  </si>
  <si>
    <t>SP500 SETTORE TECNOLOGIA</t>
  </si>
  <si>
    <t>SP500 SETTORE TECNOLOGIA2</t>
  </si>
  <si>
    <t>USA INFORMATION TECHNOLOGY</t>
  </si>
  <si>
    <t>EUROPA TECNOLOGIA</t>
  </si>
  <si>
    <t>SPGLOBAL INFRASTRUTTURE</t>
  </si>
  <si>
    <t>RAME MINERARI</t>
  </si>
  <si>
    <t>GLOBALE MINERARI</t>
  </si>
  <si>
    <t>MINERARI ARGENTO</t>
  </si>
  <si>
    <t>EUROSTOXX 600 MEDIA</t>
  </si>
  <si>
    <t>EUROSTOXX 600 RETAIL</t>
  </si>
  <si>
    <t>WORLD HEALTCARE</t>
  </si>
  <si>
    <t>SP500 HEALTCARE</t>
  </si>
  <si>
    <t>EUROPA HEALTCARE</t>
  </si>
  <si>
    <t>SP500 UTILITIES</t>
  </si>
  <si>
    <t>EUROPA UTILITIES</t>
  </si>
  <si>
    <t>WORLD UTILITIES</t>
  </si>
  <si>
    <t>USA COMMUNICATION SERVICES</t>
  </si>
  <si>
    <t>WORLD COMMUNICATION SERVICES</t>
  </si>
  <si>
    <t>EUROSTOXX 600 TELECOMUNICAZIONI</t>
  </si>
  <si>
    <t>EMERGING MARKET SMALL CAP</t>
  </si>
  <si>
    <t>EUROPA SMALL CAP</t>
  </si>
  <si>
    <t>WORLD SMALL CAP</t>
  </si>
  <si>
    <t>RUSSEL 2000 SMALL CAP</t>
  </si>
  <si>
    <t>SP500 MINIMO VOLATILITA</t>
  </si>
  <si>
    <t>WORLD MINIMO VOLATILITA</t>
  </si>
  <si>
    <t>EUROPA MINIMO VOLATILITA</t>
  </si>
  <si>
    <t>ASIA DIVIDENDI</t>
  </si>
  <si>
    <t>EUROPA DIVIDENDI</t>
  </si>
  <si>
    <t>MONDO DIVIDENDI</t>
  </si>
  <si>
    <t>MONDO QUALITA DIVIDENDI</t>
  </si>
  <si>
    <t>MERCATI EMERGENTI DIVIDENDI</t>
  </si>
  <si>
    <t>MERCATI EMERGENTI DIVIDENDI ARISTOCRATS</t>
  </si>
  <si>
    <t>NORD AMERICA DIVIDENDI</t>
  </si>
  <si>
    <t>GERMANIA DIVIDENDI</t>
  </si>
  <si>
    <t>AZIONARIO GIAPPONE</t>
  </si>
  <si>
    <t>AZIONARI GIAPPONE HEDGED</t>
  </si>
  <si>
    <t>UK DIVIDENDI</t>
  </si>
  <si>
    <t>USA QUALITA DIVIDENDI ESG</t>
  </si>
  <si>
    <t>USA DIVIDENDI QUALITA' FIDELITY</t>
  </si>
  <si>
    <t>MONDO EQUIPESATO</t>
  </si>
  <si>
    <t>SP500 EQUIPESATO</t>
  </si>
  <si>
    <t>EUROPA EQUIPESATO</t>
  </si>
  <si>
    <t>EDGE USA QUALITY FACTOR</t>
  </si>
  <si>
    <t>EUROPA LARGE CAP</t>
  </si>
  <si>
    <t>AMERICA 1000 RUSSEL LARGE CAP</t>
  </si>
  <si>
    <t>EUROPA 200 LARGE CAP</t>
  </si>
  <si>
    <t>DOW JONES TITANS 50</t>
  </si>
  <si>
    <t>SP500 400 MID CAP</t>
  </si>
  <si>
    <t>EMERGING MARKET MID DAP</t>
  </si>
  <si>
    <t>WORLD MID CAP</t>
  </si>
  <si>
    <t>EUROPA SRI</t>
  </si>
  <si>
    <t>EUROPA SALUTE ESG</t>
  </si>
  <si>
    <t>EUROPA FINANZA ESG</t>
  </si>
  <si>
    <t>EUROPA INFORMATION TECH ESG</t>
  </si>
  <si>
    <t>EUROPA BENI DI CONSUMO ESG</t>
  </si>
  <si>
    <t>EUROPA INDUSTRIALI ESG</t>
  </si>
  <si>
    <t>EUROPA COMMUNICATION SERVICES ESG</t>
  </si>
  <si>
    <t>EURPPA CONSUMI DISCREZIONALI</t>
  </si>
  <si>
    <t>WORLD ESG</t>
  </si>
  <si>
    <t>WORLD SRI</t>
  </si>
  <si>
    <t>WORLD HEALTCARE ESG</t>
  </si>
  <si>
    <t>WORLD INDUSTRIAL ESG</t>
  </si>
  <si>
    <t>WORLD CONSUMI DISCREZIONALI ESG</t>
  </si>
  <si>
    <t>WORLD COMMUNICATION SERVICES ESG</t>
  </si>
  <si>
    <t>WORLD INFORMATION TECH ESG</t>
  </si>
  <si>
    <t>GLOBAL HEALTCARE ESG</t>
  </si>
  <si>
    <t>GLOBAL BENI DI CONSUMO ESG</t>
  </si>
  <si>
    <t>WORLD ENERGY SECTOR ESG</t>
  </si>
  <si>
    <t>WORLD COMMUNICATION SECTOR ESG</t>
  </si>
  <si>
    <t>GLOBAL INFORMATION TECHNOLOGIES ESG</t>
  </si>
  <si>
    <t>WORLD JAPANES ESG HEDGED</t>
  </si>
  <si>
    <t>World Multifactor</t>
  </si>
  <si>
    <t>Europe Multifactor</t>
  </si>
  <si>
    <t>USA Multifactor</t>
  </si>
  <si>
    <t>World Value Factor</t>
  </si>
  <si>
    <t>USA Value Factor</t>
  </si>
  <si>
    <t xml:space="preserve">Europe Value Factor </t>
  </si>
  <si>
    <t>EMERGING MARKET Value Factor</t>
  </si>
  <si>
    <t>USA Value Factor ESG</t>
  </si>
  <si>
    <t xml:space="preserve">Fisher Investments Institutional Global Developed Equity Fund </t>
  </si>
  <si>
    <t>AIRBUS GROUP</t>
  </si>
  <si>
    <t>AMAZON.COM INC. - COM</t>
  </si>
  <si>
    <t>ADVANCED MICRO DEVICES INC</t>
  </si>
  <si>
    <t>ALPHABET INC</t>
  </si>
  <si>
    <t>HANETF FUTURE OF DEFENCE UCITS ETF</t>
  </si>
  <si>
    <t>UNITED THERAPEUTICS CO</t>
  </si>
  <si>
    <t>VANECK URANIUM AND NUCLEAR TECHN...</t>
  </si>
  <si>
    <t>MSCI World</t>
  </si>
  <si>
    <t>MSCI EMERGING MARKETS</t>
  </si>
  <si>
    <t>Bloomberg Euro Government Bond 7-10</t>
  </si>
  <si>
    <t>Inflation linked</t>
  </si>
  <si>
    <t>FTSE EPRA NAREIT Global </t>
  </si>
  <si>
    <t>Gold</t>
  </si>
  <si>
    <t>IBCI.DE</t>
  </si>
  <si>
    <t>EPRA.MI</t>
  </si>
  <si>
    <t>AIR.DE</t>
  </si>
  <si>
    <t>GOOG</t>
  </si>
  <si>
    <t>ASWC.DE</t>
  </si>
  <si>
    <t>UTHR</t>
  </si>
  <si>
    <t>NUCL.SW</t>
  </si>
  <si>
    <t>IBGM.MI</t>
  </si>
  <si>
    <t>MSCI WORLD  SRI</t>
  </si>
  <si>
    <t>SP500</t>
  </si>
  <si>
    <t>EUROSTOXX MOMENTUM</t>
  </si>
  <si>
    <t>USA INFORMATION TECH</t>
  </si>
  <si>
    <t>EMERGING MARKET</t>
  </si>
  <si>
    <t>USA QUALITY FACTOR</t>
  </si>
  <si>
    <t>QDVB.DE</t>
  </si>
  <si>
    <t>IWFQ.L</t>
  </si>
  <si>
    <t>WORLD QUALITY FACTORS</t>
  </si>
  <si>
    <t>IWME.AS</t>
  </si>
  <si>
    <t>IWQE.AS</t>
  </si>
  <si>
    <t>WORLD QUALITY FACOTRS</t>
  </si>
  <si>
    <t xml:space="preserve">MOMENTUM IS3R EUR </t>
  </si>
  <si>
    <t>WORLD MOMENTUM ESG IWME</t>
  </si>
  <si>
    <t>WORLD MOMENTUM CBUH EUR</t>
  </si>
  <si>
    <t>WORLD MOMENTU IWMOM</t>
  </si>
  <si>
    <t>QUAL</t>
  </si>
  <si>
    <t>QUALITY DIVIDEND</t>
  </si>
  <si>
    <t>QUALITY DIVIDEND QDVB</t>
  </si>
  <si>
    <t>CBUH.DE</t>
  </si>
  <si>
    <t>MOMENTUM ISHARE</t>
  </si>
  <si>
    <t xml:space="preserve">MSCI WORLD </t>
  </si>
  <si>
    <t>SIMBOLO</t>
  </si>
  <si>
    <t>DESCRIZIONE</t>
  </si>
  <si>
    <t>VALUTA</t>
  </si>
  <si>
    <t>SPDR MSCI World Small Cap UCITS ETF</t>
  </si>
  <si>
    <t>BNP.PA</t>
  </si>
  <si>
    <t>INGA.AS</t>
  </si>
  <si>
    <t>ING Group NV</t>
  </si>
  <si>
    <t>GZF.DE</t>
  </si>
  <si>
    <t>Lyxor 2 MSCI World Health Care TR UCITS ETF (LYPE.DE)</t>
  </si>
  <si>
    <t xml:space="preserve">VANGUARD WORLD ALL COUNTRY </t>
  </si>
  <si>
    <t>US10.MI</t>
  </si>
  <si>
    <t>IUSA.MI</t>
  </si>
  <si>
    <t>UST.MI</t>
  </si>
  <si>
    <t>XEON.MI</t>
  </si>
  <si>
    <t>IEMB.MI</t>
  </si>
  <si>
    <t>PHAU.MI</t>
  </si>
  <si>
    <t>IWRD.MI</t>
  </si>
  <si>
    <t>CSBGU7.MI</t>
  </si>
  <si>
    <t>CONV.MI</t>
  </si>
  <si>
    <t>Treasury Bond a lunga scadenza </t>
  </si>
  <si>
    <t>Core S&amp;P 500 </t>
  </si>
  <si>
    <t>OVERNIGHT RATE</t>
  </si>
  <si>
    <t>EMERGING BOND</t>
  </si>
  <si>
    <t>GOLD</t>
  </si>
  <si>
    <t>Asia Pacific Dividend</t>
  </si>
  <si>
    <t>TREASURY 3-7Y</t>
  </si>
  <si>
    <t>CONVERTIBLE BONDS</t>
  </si>
  <si>
    <t>SCF</t>
  </si>
  <si>
    <t>MK</t>
  </si>
  <si>
    <t>BEN FELIX</t>
  </si>
  <si>
    <t>80/20</t>
  </si>
  <si>
    <t>ANDREA1</t>
  </si>
  <si>
    <t>ANDREA2</t>
  </si>
  <si>
    <t>ANDREA3</t>
  </si>
  <si>
    <t>ANDREA</t>
  </si>
  <si>
    <t>GURU</t>
  </si>
  <si>
    <t>USA 600 SMALL CAP VALUE</t>
  </si>
  <si>
    <t>RAY DALIO</t>
  </si>
  <si>
    <t>GOLDEN</t>
  </si>
  <si>
    <t>CLIENTE</t>
  </si>
  <si>
    <t>ISHARE GOV BOND 3Y 7Y</t>
  </si>
  <si>
    <t xml:space="preserve">JPM Global Equity Multi-Factor </t>
  </si>
  <si>
    <t xml:space="preserve">Vanguard FTSE Developed World </t>
  </si>
  <si>
    <t xml:space="preserve">SPDR MSCI USA Small Cap Value </t>
  </si>
  <si>
    <t xml:space="preserve">SPDR MSCI Europe Small Cap Value </t>
  </si>
  <si>
    <t>CAPU.MI</t>
  </si>
  <si>
    <t>Ossiam Shiller Barclays Cape US Sector Value</t>
  </si>
  <si>
    <t>CAPE.MI</t>
  </si>
  <si>
    <t>Ossiam Shiller Barclays Cape Europe Sector Value</t>
  </si>
  <si>
    <t>IBGS.AS</t>
  </si>
  <si>
    <t xml:space="preserve">iShares EURGovt Bond 1-3yr IBGS.AS </t>
  </si>
  <si>
    <t>IB28.DE</t>
  </si>
  <si>
    <t>iShares iBonds Dec 2028 Term EUR Corp IB28.DE</t>
  </si>
  <si>
    <t>IEAC.L</t>
  </si>
  <si>
    <t>iShares Core EURCorp Bond UCITS ETF EUR (Dist) IEAC.L</t>
  </si>
  <si>
    <t>iShares JP Morgan $ EM Bond UCITS ETF USD (Dist) (IEMB.L)</t>
  </si>
  <si>
    <t>iShares VII PLC - iShares € Govt Bond 3-7yr ETF EUR Acc (CSBGE7.MI)</t>
  </si>
  <si>
    <t>CSBGE7.MI</t>
  </si>
  <si>
    <t>iShares € High Yield Corp Bond UCITS ETF EUR (Dist) (IHYG.L)</t>
  </si>
  <si>
    <t>IHYG.L</t>
  </si>
  <si>
    <t>Xtrackers II EUR Overnight Rate Swap UCITS ETF 1D (XEOD.DE)</t>
  </si>
  <si>
    <t>XEOD.DE</t>
  </si>
  <si>
    <t>Invesco Physical Gold ETC (SGLD.L)</t>
  </si>
  <si>
    <t>HSTE.L</t>
  </si>
  <si>
    <t>HANG-SENG-TECH-HSBC</t>
  </si>
  <si>
    <t>IUHC.L</t>
  </si>
  <si>
    <t>HEALTCARE</t>
  </si>
  <si>
    <t>WORLD-QUALITY-FACTOR</t>
  </si>
  <si>
    <t>MEUD.PA</t>
  </si>
  <si>
    <t>STOXX-600</t>
  </si>
  <si>
    <t>MGT.PA</t>
  </si>
  <si>
    <t>DJ-TITANS50</t>
  </si>
  <si>
    <t>MIBX.L</t>
  </si>
  <si>
    <t>FTSE-MIB-DIS-AMUNDI</t>
  </si>
  <si>
    <t>NDIA.L</t>
  </si>
  <si>
    <t>INDIA-ISHARE</t>
  </si>
  <si>
    <t>VFEA.DE</t>
  </si>
  <si>
    <t>EMERGING-VANGUARD</t>
  </si>
  <si>
    <t>XDWD.L</t>
  </si>
  <si>
    <t>WORLD-SUPERDIVIDEND</t>
  </si>
  <si>
    <t>XDWH.L</t>
  </si>
  <si>
    <t>HEALTCARE-WORLD</t>
  </si>
  <si>
    <t>UCG.MI</t>
  </si>
  <si>
    <t>UNICREDIT EURO</t>
  </si>
  <si>
    <t>NVIDIA</t>
  </si>
  <si>
    <t>1NVDA.MI</t>
  </si>
  <si>
    <t>1TSLA.MI</t>
  </si>
  <si>
    <t>Amundi Treasury 7-10</t>
  </si>
  <si>
    <t>US7.SW</t>
  </si>
  <si>
    <t xml:space="preserve">Amundi FTSE MIB </t>
  </si>
  <si>
    <t xml:space="preserve">MSCI World </t>
  </si>
  <si>
    <t xml:space="preserve">Amundi Core Stoxx Europe 600 </t>
  </si>
  <si>
    <t xml:space="preserve">MSCI India </t>
  </si>
  <si>
    <t>R2US.L</t>
  </si>
  <si>
    <t xml:space="preserve">Russell 2000 US Small Cap </t>
  </si>
  <si>
    <t>ARXK.DE</t>
  </si>
  <si>
    <t xml:space="preserve">ARK Innovation </t>
  </si>
  <si>
    <t>EXUS.DE</t>
  </si>
  <si>
    <t xml:space="preserve">trackers MSCI World </t>
  </si>
  <si>
    <t xml:space="preserve">iShares Core S&amp;P 500 </t>
  </si>
  <si>
    <t>TREX.L</t>
  </si>
  <si>
    <t xml:space="preserve">Invesco US Treasury Bond 7-10 </t>
  </si>
  <si>
    <t>VUKG.DE</t>
  </si>
  <si>
    <t>FTSE 100</t>
  </si>
  <si>
    <t>CSINDU.SW</t>
  </si>
  <si>
    <t>Dow Jones Industrial Average</t>
  </si>
  <si>
    <t>MSCI World UCITS ETF 1C ()</t>
  </si>
  <si>
    <t>VUAA.L</t>
  </si>
  <si>
    <t>Vanguard S&amp;P 500</t>
  </si>
  <si>
    <t>EQAC.SW</t>
  </si>
  <si>
    <t xml:space="preserve">Invesco EQQQ NASDAQ-100 </t>
  </si>
  <si>
    <t>XEON.DE</t>
  </si>
  <si>
    <t>XEON</t>
  </si>
  <si>
    <t xml:space="preserve">S&amp;P 500 Health Care </t>
  </si>
  <si>
    <t>HSBC Hang Seng Tech UCITS ETF ()</t>
  </si>
  <si>
    <t>TESLA USA</t>
  </si>
  <si>
    <t>NVIDIA USA</t>
  </si>
  <si>
    <t>AMD USA</t>
  </si>
  <si>
    <t>1AMD.MI</t>
  </si>
  <si>
    <t xml:space="preserve">AMD </t>
  </si>
  <si>
    <t>0P0001022J</t>
  </si>
  <si>
    <t>FIDELITY GLOBAL</t>
  </si>
  <si>
    <t>0P0000F2ZH.F</t>
  </si>
  <si>
    <t>Amundi Global</t>
  </si>
  <si>
    <t>GAC7.BE</t>
  </si>
  <si>
    <t>Goldman Global BE</t>
  </si>
  <si>
    <t>MSCI WORLD HDG</t>
  </si>
  <si>
    <t>LCCN.MI</t>
  </si>
  <si>
    <t>CHINA</t>
  </si>
  <si>
    <t>540J.DE</t>
  </si>
  <si>
    <t>SWIZERLAND</t>
  </si>
  <si>
    <t>INDO.MI</t>
  </si>
  <si>
    <t>INDONESIA</t>
  </si>
  <si>
    <t>SRSA.MI</t>
  </si>
  <si>
    <t>SUD AFRICA</t>
  </si>
  <si>
    <t>UIQ4.DE</t>
  </si>
  <si>
    <t>EURO DEFENSIVE PUT</t>
  </si>
  <si>
    <t>XCAN.MI</t>
  </si>
  <si>
    <t>PACIFICO EX JAPAN</t>
  </si>
  <si>
    <t>A500.MI</t>
  </si>
  <si>
    <t>AMUNDI SP500 SWAP</t>
  </si>
  <si>
    <t>BRA.MI</t>
  </si>
  <si>
    <t>SAUDI ARABIA</t>
  </si>
  <si>
    <t>IE00B441G979</t>
  </si>
  <si>
    <t>TOTALE</t>
  </si>
  <si>
    <t>INDI.MI</t>
  </si>
  <si>
    <t>SMEA.MI</t>
  </si>
  <si>
    <t>IUSS.DE</t>
  </si>
  <si>
    <t>Poste Italiane S.p.A.</t>
  </si>
  <si>
    <t>PRY.MI</t>
  </si>
  <si>
    <t>Prysmian S.p.A.</t>
  </si>
  <si>
    <t>BPE.MI</t>
  </si>
  <si>
    <t>BPER Banca SpA</t>
  </si>
  <si>
    <t>SPM.MI</t>
  </si>
  <si>
    <t>Saipem SpA</t>
  </si>
  <si>
    <t>SRG.MI</t>
  </si>
  <si>
    <t>Snam S.p.A.</t>
  </si>
  <si>
    <t>TRN.MI</t>
  </si>
  <si>
    <t>Terna S.p.A.</t>
  </si>
  <si>
    <t>BAMI.MI</t>
  </si>
  <si>
    <t>Banco BPM S.p.A.</t>
  </si>
  <si>
    <t>MONC.MI</t>
  </si>
  <si>
    <t>Moncler S.p.A.</t>
  </si>
  <si>
    <t>UNI.MI</t>
  </si>
  <si>
    <t>Unipol Assicurazioni S.p.A.</t>
  </si>
  <si>
    <t>STLAM.MI</t>
  </si>
  <si>
    <t>Stellantis N.V.</t>
  </si>
  <si>
    <t>BC.MI</t>
  </si>
  <si>
    <t>Brunello Cucinelli S.p.A.</t>
  </si>
  <si>
    <t>AMP.MI</t>
  </si>
  <si>
    <t>Amplifon S.p.A.</t>
  </si>
  <si>
    <t>RACE.MI</t>
  </si>
  <si>
    <t>Ferrari N.V.</t>
  </si>
  <si>
    <t>Eni S.p.A.</t>
  </si>
  <si>
    <t>DIA.MI</t>
  </si>
  <si>
    <t>DiaSorin S.p.A.</t>
  </si>
  <si>
    <t>REC.MI</t>
  </si>
  <si>
    <t>Recordati Industria Chimica e Farmaceutica S.p.A.</t>
  </si>
  <si>
    <t>BZU.MI</t>
  </si>
  <si>
    <t>Buzzi S.p.A.</t>
  </si>
  <si>
    <t>G.MI</t>
  </si>
  <si>
    <t>Assicurazioni Generali</t>
  </si>
  <si>
    <t>TEN.MI</t>
  </si>
  <si>
    <t>Tenaris S.A.</t>
  </si>
  <si>
    <t>Davide Campari-Milano N.V.</t>
  </si>
  <si>
    <t>MB.MI</t>
  </si>
  <si>
    <t>Mediobanca Banca di Credito Finanziario S.p.A.</t>
  </si>
  <si>
    <t>LTMC.MI</t>
  </si>
  <si>
    <t>Lottomatica Group S.p.A.</t>
  </si>
  <si>
    <t>Intesa Sanpaolo S.p.A.</t>
  </si>
  <si>
    <t>IG.MI</t>
  </si>
  <si>
    <t>Italgas S.p.A.</t>
  </si>
  <si>
    <t>BMED.MI</t>
  </si>
  <si>
    <t>Banca Mediolanum S.p.A.</t>
  </si>
  <si>
    <t>Leonardo S.p.a.</t>
  </si>
  <si>
    <t>Telecom Italia SpA</t>
  </si>
  <si>
    <t>AZM.MI</t>
  </si>
  <si>
    <t>Azimut Holding S.p.A.</t>
  </si>
  <si>
    <t>FBK.MI</t>
  </si>
  <si>
    <t>FinecoBank Banca Fineco S.p.A.</t>
  </si>
  <si>
    <t>0P0000A31Q</t>
  </si>
  <si>
    <t>Fidelity global DIV</t>
  </si>
  <si>
    <t>SPDR Emerging Markets</t>
  </si>
  <si>
    <t>Xtrackers Emerging Markets</t>
  </si>
  <si>
    <t>XMME.MI</t>
  </si>
  <si>
    <t>EMRG.MI</t>
  </si>
  <si>
    <t>IEBB.MI</t>
  </si>
  <si>
    <t>ISHARE CORP BOND</t>
  </si>
  <si>
    <t xml:space="preserve"> EXH5.DE</t>
  </si>
  <si>
    <t>EXV5.DE</t>
  </si>
  <si>
    <t>ESIS.DE</t>
  </si>
  <si>
    <t>ESIC.DE</t>
  </si>
  <si>
    <t>EXH1.DE</t>
  </si>
  <si>
    <t>ESIE.DE</t>
  </si>
  <si>
    <t>EXV1.DE</t>
  </si>
  <si>
    <t>ESIF.DE</t>
  </si>
  <si>
    <t>EXH4.DE</t>
  </si>
  <si>
    <t>IS0E.DE</t>
  </si>
  <si>
    <t>EXV4.DE</t>
  </si>
  <si>
    <t>EXH9.DE</t>
  </si>
  <si>
    <t>EXV2.DE</t>
  </si>
  <si>
    <t>Vanguard FTSE All-World CO</t>
  </si>
  <si>
    <t>iShares Core MSCI World CO</t>
  </si>
  <si>
    <t>0P0001HFGK</t>
  </si>
  <si>
    <t>Fisher</t>
  </si>
  <si>
    <t>usd</t>
  </si>
  <si>
    <t>UNIVERSO INVESTIBILE – CNPR RAGIONIERI  |  ETF &amp; Fondi per Asset Class</t>
  </si>
  <si>
    <t>AAS 2025: 37.7% Obbligazionario | 22% Azionario | 26.7% Immobiliare | 8.9% Alternativi | 2.9% Partecipazioni | 1.8% Liquidità</t>
  </si>
  <si>
    <t>ASSET CLASS CNPR</t>
  </si>
  <si>
    <t>── PORTAFOGLIO GIÀ PRESENTE NEL FILE DI ANDREA ──</t>
  </si>
  <si>
    <t>iShares MSCI USA SRI UCITS ETF EUR Acc</t>
  </si>
  <si>
    <t>Az. USA – SRI</t>
  </si>
  <si>
    <t>iShares MSCI World SRI UCITS ETF EUR Acc</t>
  </si>
  <si>
    <t>Az. Globale – SRI</t>
  </si>
  <si>
    <t>iShares NASDAQ 100 UCITS ETF EUR Acc</t>
  </si>
  <si>
    <t>Xtrackers MSCI USA Information Tech UCITS ETF</t>
  </si>
  <si>
    <t>SPDR MSCI USA Small Cap Value Weighted UCITS ETF</t>
  </si>
  <si>
    <t>Az. USA Small Cap Value</t>
  </si>
  <si>
    <t>Az. Globale</t>
  </si>
  <si>
    <t>iShares MSCI World EUR Hedged UCITS ETF</t>
  </si>
  <si>
    <t>Az. Globale EUR Hdg</t>
  </si>
  <si>
    <t>Amundi Euro iStoxx 50 Equal Weight Defensive Put UCITS ETF</t>
  </si>
  <si>
    <t>Az. Europa – Opt. Coperta</t>
  </si>
  <si>
    <t>iShares Core MSCI Pacific ex-Japan UCITS ETF USD Acc</t>
  </si>
  <si>
    <t>Az. Pacifico ex-Japan</t>
  </si>
  <si>
    <t>Amundi S&amp;P 500 UCITS ETF EUR Acc (Swap)</t>
  </si>
  <si>
    <t>Az. USA S&amp;P500</t>
  </si>
  <si>
    <t>Vanguard FTSE Emerging Markets UCITS ETF USD Acc</t>
  </si>
  <si>
    <t>Az. Paesi Emergenti</t>
  </si>
  <si>
    <t>Amundi Core Stoxx Europe 600 UCITS ETF DR</t>
  </si>
  <si>
    <t>Az. Europa</t>
  </si>
  <si>
    <t>Xtrackers EUR Overnight Rate Swap UCITS ETF (liquidità)</t>
  </si>
  <si>
    <t>Liquidità / Monetario</t>
  </si>
  <si>
    <t>Amundi Funds Global Aggregate Bond – A EUR Acc (fondo)</t>
  </si>
  <si>
    <t>Goldman Sachs Global Bond Port. Base Acc EUR (fondo)</t>
  </si>
  <si>
    <t>Fidelity Funds Global Dividend Fund – A USD Acc (fondo)</t>
  </si>
  <si>
    <t>Az. Globale – Dividend</t>
  </si>
  <si>
    <t>── AZIONARIO EUROPA  (AAS peso: 17.5%)  ──</t>
  </si>
  <si>
    <t>IEUR.MI</t>
  </si>
  <si>
    <t>iShares Core MSCI Europe UCITS ETF EUR Acc</t>
  </si>
  <si>
    <t>EUN2.DE</t>
  </si>
  <si>
    <t>iShares STOXX Europe 600 UCITS ETF DE EUR Acc</t>
  </si>
  <si>
    <t>VEUR.AS</t>
  </si>
  <si>
    <t>Vanguard FTSE Developed Europe UCITS ETF EUR Acc</t>
  </si>
  <si>
    <t>── AZIONARIO GLOBALE  (AAS peso: 16%)  ──</t>
  </si>
  <si>
    <t>IWDA.AS</t>
  </si>
  <si>
    <t>iShares Core MSCI World UCITS ETF USD Acc</t>
  </si>
  <si>
    <t>LCUW.MI</t>
  </si>
  <si>
    <t>Amundi Index MSCI World UCITS ETF EUR Acc</t>
  </si>
  <si>
    <t>SWRD.MI</t>
  </si>
  <si>
    <t>SPDR MSCI World UCITS ETF USD Acc</t>
  </si>
  <si>
    <t>── AZIONARIO PAESI EMERGENTI  (AAS peso: 4.5%)  ──</t>
  </si>
  <si>
    <t>IEMA.MI</t>
  </si>
  <si>
    <t>iShares MSCI EM UCITS ETF USD Acc</t>
  </si>
  <si>
    <t>Xtrackers MSCI Emerging Markets Swap UCITS ETF</t>
  </si>
  <si>
    <t>── FONDI AZIONARI DIVIDEND/INCOME – CNPR HA SOTTOSCRITTO QUESTI ──</t>
  </si>
  <si>
    <t>Fidelity Global Dividend Fund A USD Acc (fondo UCITS)</t>
  </si>
  <si>
    <t>0P00007L18.F</t>
  </si>
  <si>
    <t>JPMorgan Global Dividend Fund A EUR Acc (fondo UCITS)</t>
  </si>
  <si>
    <t>0P0001GFYZ.F</t>
  </si>
  <si>
    <t>Amundi Global Equity Income ESG Fund EUR Acc (fondo UCITS)</t>
  </si>
  <si>
    <t>0P0000TWUD.F</t>
  </si>
  <si>
    <t>Guinness Global Equity Income Fund EUR Acc (fondo UCITS)</t>
  </si>
  <si>
    <t>── GOV. GLOBALE EMU  (AAS peso: 8.5%)  ──</t>
  </si>
  <si>
    <t>IBGE.MI</t>
  </si>
  <si>
    <t>iShares Core Euro Government Bond UCITS ETF EUR Acc</t>
  </si>
  <si>
    <t>XGLE.DE</t>
  </si>
  <si>
    <t>Xtrackers II Eurozone Government Bond UCITS ETF 1C EUR</t>
  </si>
  <si>
    <t>VGEA.AS</t>
  </si>
  <si>
    <t>Vanguard Eurozone Government Bond UCITS ETF EUR Acc</t>
  </si>
  <si>
    <t>── GOV. EURO INFLATION LINKED  (AAS peso: 13%)  ──</t>
  </si>
  <si>
    <t>IBCI.MI</t>
  </si>
  <si>
    <t>iShares € Inflation Linked Govt Bond UCITS ETF EUR Acc</t>
  </si>
  <si>
    <t>XGIG.DE</t>
  </si>
  <si>
    <t>Xtrackers II Global Inflation-Linked Bond Swap UCITS ETF EUR</t>
  </si>
  <si>
    <t>LYXR.PA</t>
  </si>
  <si>
    <t>Amundi Euro Govt Inflation-Linked Bond DR UCITS ETF</t>
  </si>
  <si>
    <t>── GOV. GLOBALE EX-EMU  (AAS peso: 6.5%)  ──</t>
  </si>
  <si>
    <t>IGLO.MI</t>
  </si>
  <si>
    <t>iShares Global Govt Bond UCITS ETF EUR Hdg Acc</t>
  </si>
  <si>
    <t>XGSH.DE</t>
  </si>
  <si>
    <t>Xtrackers II Global Govt Bond Swap UCITS ETF EUR Hdg</t>
  </si>
  <si>
    <t>AGGH.MI</t>
  </si>
  <si>
    <t>iShares Core Global Aggregate Bond UCITS ETF EUR Hdg Acc</t>
  </si>
  <si>
    <t>── CORPORATE EMU  (AAS peso: 11.5%)  ──</t>
  </si>
  <si>
    <t>IEAC.MI</t>
  </si>
  <si>
    <t>iShares Core € Corp Bond UCITS ETF EUR Acc</t>
  </si>
  <si>
    <t>VCPA.MI</t>
  </si>
  <si>
    <t>Vanguard EUR Corporate Bond UCITS ETF EUR Acc</t>
  </si>
  <si>
    <t>XCBT.MI</t>
  </si>
  <si>
    <t>Xtrackers EUR Corporate Bond UCITS ETF 1C</t>
  </si>
  <si>
    <t>── CORPORATE GLOBALE EX-EURO  (AAS peso: 10.5%)  ──</t>
  </si>
  <si>
    <t>iShares $ Corporate Bond EUR Hdg UCITS ETF EUR Acc</t>
  </si>
  <si>
    <t>XDGU.DE</t>
  </si>
  <si>
    <t>Xtrackers USD Corporate Bond UCITS ETF 1C EUR Hdg</t>
  </si>
  <si>
    <t>SUAG.AS</t>
  </si>
  <si>
    <t>iShares USD Corporate Bond UCITS ETF USD Acc</t>
  </si>
  <si>
    <t>── OBBLIGAZIONARIO HIGH YIELD  (AAS peso: 4.5%)  ──</t>
  </si>
  <si>
    <t>IHYG.MI</t>
  </si>
  <si>
    <t>iShares € High Yield Corp Bond UCITS ETF EUR Acc</t>
  </si>
  <si>
    <t>JNKE.MI</t>
  </si>
  <si>
    <t>SPDR Bloomberg Euro High Yield Bond UCITS ETF EUR Acc</t>
  </si>
  <si>
    <t>HYG</t>
  </si>
  <si>
    <t>iShares iBoxx $ High Yield Corp Bond ETF (NYSE)</t>
  </si>
  <si>
    <t>── FONDI HIGH YIELD – CNPR HA SOTTOSCRITTO QUESTI ──</t>
  </si>
  <si>
    <t>0P00009E1J.F</t>
  </si>
  <si>
    <t>Aegon Global High Yield Bond Fund EUR Acc (fondo UCITS)</t>
  </si>
  <si>
    <t>0P0000YHW7.F</t>
  </si>
  <si>
    <t>Principal Global High Yield Fund EUR Acc (fondo UCITS)</t>
  </si>
  <si>
    <t>── OBBLIGAZIONARIO PAESI EMERGENTI  (AAS peso: 7.5%)  ──</t>
  </si>
  <si>
    <t>iShares J.P. Morgan $ EM Bond EUR Hdg UCITS ETF EUR Acc</t>
  </si>
  <si>
    <t>VEMT.AS</t>
  </si>
  <si>
    <t>Vanguard USD EM Govt Bond UCITS ETF USD Acc</t>
  </si>
  <si>
    <t>SEML.MI</t>
  </si>
  <si>
    <t>iShares J.P. Morgan EM Local Govt Bond UCITS ETF USD Acc</t>
  </si>
  <si>
    <t>── FONDI OBBLIG. EMERGENTI – CNPR HA SOTTOSCRITTO QUESTI ──</t>
  </si>
  <si>
    <t>0P0000D3EZ.F</t>
  </si>
  <si>
    <t>Vontobel Emerging Markets Debt Fund EUR Acc (fondo UCITS)</t>
  </si>
  <si>
    <t>0P0000CSNP.F</t>
  </si>
  <si>
    <t>Candriam Bonds Emerging Markets EUR Acc (fondo UCITS)</t>
  </si>
  <si>
    <t>── ALTERNATIVI LIQUIDI: SENIOR SECURED LOANS (CNPR ha €40M)  ──</t>
  </si>
  <si>
    <t>BKLN</t>
  </si>
  <si>
    <t>Invesco Senior Loan ETF (NYSE – USD)</t>
  </si>
  <si>
    <t>SRLN</t>
  </si>
  <si>
    <t>SPDR Blackstone Senior Loan ETF (NYSE – USD)</t>
  </si>
  <si>
    <t>FLOT.MI</t>
  </si>
  <si>
    <t>iShares Floating Rate Bond UCITS ETF EUR Hdg</t>
  </si>
  <si>
    <t>── INFRASTRUTTURE (CNPR ha 8 fondi FIA infra)  ──</t>
  </si>
  <si>
    <t>INFR.MI</t>
  </si>
  <si>
    <t>iShares Global Infrastructure UCITS ETF USD Acc</t>
  </si>
  <si>
    <t>XDWI.DE</t>
  </si>
  <si>
    <t>Xtrackers MSCI World Infrastructure Swap UCITS ETF</t>
  </si>
  <si>
    <t>CORE.MI</t>
  </si>
  <si>
    <t>SPDR Morningstar Multi-Asset Global Infrastructure UCITS ETF</t>
  </si>
  <si>
    <t>── LIQUIDITÀ / MONETARIO  ──</t>
  </si>
  <si>
    <t>Xtrackers EUR Overnight Rate Swap UCITS ETF (già presente)</t>
  </si>
  <si>
    <t>SMART.MI</t>
  </si>
  <si>
    <t>iShares € Ultrashort Bond UCITS ETF EUR Acc</t>
  </si>
  <si>
    <t>CSH2.MI</t>
  </si>
  <si>
    <t>Amundi ETF Govt Bond EuroMTS Short Term UCITS ETF</t>
  </si>
  <si>
    <t>Az. USA Tech 1</t>
  </si>
  <si>
    <t>Az. USA Tech 2</t>
  </si>
  <si>
    <t>Obbl. Globale Aggregate 1</t>
  </si>
  <si>
    <t>Obbl. Globale Aggregate 2</t>
  </si>
  <si>
    <t>Az. Europa 2</t>
  </si>
  <si>
    <t>Az. Europa 3</t>
  </si>
  <si>
    <t>Az. Europa 4</t>
  </si>
  <si>
    <t>Az. Globale 2</t>
  </si>
  <si>
    <t>Az. Globale 3</t>
  </si>
  <si>
    <t>Az. Globale 4</t>
  </si>
  <si>
    <t>Az. Paesi Emergenti 2</t>
  </si>
  <si>
    <t>Az. Paesi Emergenti 3</t>
  </si>
  <si>
    <t>Az. Paesi Emergenti 4</t>
  </si>
  <si>
    <t>Obbl. Gov. EMU 1</t>
  </si>
  <si>
    <t>Obbl. Gov. EMU 2</t>
  </si>
  <si>
    <t>Obbl. Gov. EMU 3</t>
  </si>
  <si>
    <t>Obbl. Gov. EUR Inflation Lkd 1</t>
  </si>
  <si>
    <t>Obbl. Gov. EUR Inflation Lkd 2</t>
  </si>
  <si>
    <t>Obbl. Gov. EUR Inflation Lkd 3</t>
  </si>
  <si>
    <t>Obbl. Gov. Globale ex-EMU 1</t>
  </si>
  <si>
    <t>Obbl. Gov. Globale ex-EMU 2</t>
  </si>
  <si>
    <t>Obbl. Gov. Globale ex-EMU 3</t>
  </si>
  <si>
    <t>Obbl. Corporate EMU 1</t>
  </si>
  <si>
    <t>Obbl. Corporate EMU 2</t>
  </si>
  <si>
    <t>Obbl. Corporate EMU 3</t>
  </si>
  <si>
    <t>Obbl. Corporate Globale ex-EUR 1</t>
  </si>
  <si>
    <t>Obbl. Corporate Globale ex-EUR 2</t>
  </si>
  <si>
    <t>Obbl. Corporate Globale ex-EUR 3</t>
  </si>
  <si>
    <t>Obbl. High Yield 1</t>
  </si>
  <si>
    <t>Obbl. High Yield 2</t>
  </si>
  <si>
    <t>Obbl. High Yield USD 3</t>
  </si>
  <si>
    <t>Obbl. Paesi Emergenti 1</t>
  </si>
  <si>
    <t>Obbl. Paesi Emergenti 2</t>
  </si>
  <si>
    <t>Obbl. Paesi Emergenti 3</t>
  </si>
  <si>
    <t xml:space="preserve">CNPR Az. Globale   – Dividend 2 </t>
  </si>
  <si>
    <t>CNPR Az. Globale  – Dividend 3</t>
  </si>
  <si>
    <t>CNPR Az. Globale  – Dividend ESG 4</t>
  </si>
  <si>
    <t>CNPR Az. Globale  – Dividend 5</t>
  </si>
  <si>
    <t>CNPR Obbl. Paesi Emergenti    1</t>
  </si>
  <si>
    <t>CNPR Obbl. Paesi Emergenti  2</t>
  </si>
  <si>
    <t>CNPR Alternativi Liquidi – Loans 1</t>
  </si>
  <si>
    <t>CNPR Alternativi Liquidi – Loans 2</t>
  </si>
  <si>
    <t>CNPR Alternativi Liquidi – Loans 3</t>
  </si>
  <si>
    <t>Alternativi – Infrastrutture 1</t>
  </si>
  <si>
    <t>Alternativi – Infrastrutture 2</t>
  </si>
  <si>
    <t>Alternativi – Infrastrutture 3</t>
  </si>
  <si>
    <t>Liquidità / Monetario 1</t>
  </si>
  <si>
    <t>Liquidità / Monetario 2</t>
  </si>
  <si>
    <t>Liquidità / Monetario 3</t>
  </si>
  <si>
    <t>CNPR Obbl. High Yield  Globale 1</t>
  </si>
  <si>
    <t>CNPR Obbl. High Yield  Globale 2</t>
  </si>
  <si>
    <t>Az. Globale – Amundi</t>
  </si>
  <si>
    <t>FISHER</t>
  </si>
  <si>
    <t>Insurance RT</t>
  </si>
  <si>
    <t>Automobiles &amp; Parts RT</t>
  </si>
  <si>
    <t>Consumer Staples Sector RT</t>
  </si>
  <si>
    <t>Consumer Discretionary RT</t>
  </si>
  <si>
    <t>Energy Sector RT</t>
  </si>
  <si>
    <t>Banks RT</t>
  </si>
  <si>
    <t>Oil &amp; Gas RT</t>
  </si>
  <si>
    <t>Financials Sector RT</t>
  </si>
  <si>
    <t>Industrial Goods &amp; Services</t>
  </si>
  <si>
    <t>Gold Producers RT</t>
  </si>
  <si>
    <t>Media RT</t>
  </si>
  <si>
    <t>Retail RT</t>
  </si>
  <si>
    <t>Health Care RT</t>
  </si>
  <si>
    <t>600 Utilities RT</t>
  </si>
  <si>
    <t>Telecommunications RT</t>
  </si>
  <si>
    <t>MSCI USA SRI UCITS ETF EUR Acc</t>
  </si>
  <si>
    <t>MSCI World SRI UCITS ETF EUR Acc</t>
  </si>
  <si>
    <t>NASDAQ 100 UCITS ETF EUR Acc</t>
  </si>
  <si>
    <t>MSCI USA Information Tech UCITS ETF</t>
  </si>
  <si>
    <t>USA Small Cap Value Weighted UCITS ETF</t>
  </si>
  <si>
    <t>FTSE All-World UCITS ETF USD Acc</t>
  </si>
  <si>
    <t>MSCI World EUR Hedged UCITS ETF</t>
  </si>
  <si>
    <t>Euro iStoxx 50 Equal Weight Defensive Put UCITS ETF</t>
  </si>
  <si>
    <t>MSCI Pacific ex-Japan UCITS ETF USD Acc</t>
  </si>
  <si>
    <t>S&amp;P 500 UCITS ETF EUR Acc (Swap)</t>
  </si>
  <si>
    <t>FTSE Emerging Markets UCITS ETF USD Acc</t>
  </si>
  <si>
    <t>Stoxx Europe 600 UCITS ETF DR</t>
  </si>
  <si>
    <t>Overnight Rate Swap UCITS ETF (liquidità)</t>
  </si>
  <si>
    <t>Global Aggregate Bond – A EUR Acc (fondo)</t>
  </si>
  <si>
    <t>Global Bond Port. Base Acc EUR (fondo)</t>
  </si>
  <si>
    <t xml:space="preserve">Ob.Gov. Inflation Lkd 1EUR </t>
  </si>
  <si>
    <t>Ob.Gov. Globale ex-EMU 3</t>
  </si>
  <si>
    <t>Ob.Corp. EMU 1</t>
  </si>
  <si>
    <t>Ob.Corp.  Globale ex-EUR 1</t>
  </si>
  <si>
    <t>Ob.High Yield USD 3</t>
  </si>
  <si>
    <t>Ob.Paesi Emergenti 1</t>
  </si>
  <si>
    <t>Ob. Globale Aggregate 2</t>
  </si>
  <si>
    <t>Ob.Gov. EMU 2</t>
  </si>
  <si>
    <t>DBMFE.PA</t>
  </si>
  <si>
    <t>Managed Futures R EUR ETF</t>
  </si>
  <si>
    <t>Nasdaq 100 Jun 26 (NQ=F)</t>
  </si>
  <si>
    <t>NQ=F</t>
  </si>
  <si>
    <t>Unicredit Banca</t>
  </si>
  <si>
    <t>BMPS.MI</t>
  </si>
  <si>
    <t>Monte dei Paschi</t>
  </si>
  <si>
    <t>Amazon</t>
  </si>
  <si>
    <t xml:space="preserve">Eli Lilly </t>
  </si>
  <si>
    <t>LLY</t>
  </si>
  <si>
    <t>FLQA.MI</t>
  </si>
  <si>
    <t>Franklin FTSE Asia ex China ex Japan</t>
  </si>
  <si>
    <t xml:space="preserve">Xtrackers MSCI Emerging Markets </t>
  </si>
  <si>
    <t xml:space="preserve">Xtrackers MSCI World </t>
  </si>
  <si>
    <t>iMGP DBi Managed Futures</t>
  </si>
  <si>
    <t>SPXS.L</t>
  </si>
  <si>
    <t>Invesco S&amp;P 500</t>
  </si>
  <si>
    <t>Xtrackers MSCI World ex USA</t>
  </si>
  <si>
    <t>EMMUSA.SW</t>
  </si>
  <si>
    <t>UBS Core MSCI EM</t>
  </si>
  <si>
    <t>AVWS.DE</t>
  </si>
  <si>
    <t xml:space="preserve">Avantis Global Small Cap Value </t>
  </si>
  <si>
    <t>XDEM.SW</t>
  </si>
  <si>
    <t>Xtrackers MSCI World Momentum</t>
  </si>
  <si>
    <t>GB00BJYDH287.SG</t>
  </si>
  <si>
    <t>WisdomTree Bitcoin </t>
  </si>
  <si>
    <t>XGDU.L</t>
  </si>
  <si>
    <t>Xtrackers IE Physical Gold</t>
  </si>
  <si>
    <t>XSDG.F</t>
  </si>
  <si>
    <t>Samsung SDI</t>
  </si>
  <si>
    <t>HY9H.F</t>
  </si>
  <si>
    <t>SK hynix Inc</t>
  </si>
  <si>
    <t>NNN0.F</t>
  </si>
  <si>
    <t>Tencent Holdings Limited</t>
  </si>
  <si>
    <t>Nasdaq Future</t>
  </si>
  <si>
    <t>BITCOIN</t>
  </si>
  <si>
    <t>SOL-EUR</t>
  </si>
  <si>
    <t>Solana</t>
  </si>
  <si>
    <t>ETH-EUR</t>
  </si>
  <si>
    <t>Ethereum</t>
  </si>
  <si>
    <t>Advanced Micro</t>
  </si>
  <si>
    <t>MSTR</t>
  </si>
  <si>
    <t>Microstrategy</t>
  </si>
  <si>
    <t>EURO DEFENSIVE WRITING PUT</t>
  </si>
  <si>
    <t>E50CC</t>
  </si>
  <si>
    <t>COVERED CALL</t>
  </si>
  <si>
    <t>INFL.PA</t>
  </si>
  <si>
    <t xml:space="preserve">INFLATION BREAK </t>
  </si>
  <si>
    <t>ISAC.L</t>
  </si>
  <si>
    <t xml:space="preserve">Ishare MSCI All-World </t>
  </si>
  <si>
    <t>Vanguard FTSE All-World EUR</t>
  </si>
  <si>
    <t>IUSQ.DE</t>
  </si>
  <si>
    <t>ACWI.MI</t>
  </si>
  <si>
    <t>IMIE.MI</t>
  </si>
  <si>
    <t>iShares MSCI ACWI UCITS ETF</t>
  </si>
  <si>
    <t>Lyxor MSCI All Country World</t>
  </si>
  <si>
    <t>SPDR MSCI ACWI UCITS ETF</t>
  </si>
  <si>
    <t>SPDR MSCI ACWI IMI (Include Small Cap)</t>
  </si>
  <si>
    <t>iShares Core MSCI World UCITS ETF</t>
  </si>
  <si>
    <t>EUNL.DE</t>
  </si>
  <si>
    <t>iShares Core MSCI World (Xetra)</t>
  </si>
  <si>
    <t>XMWO.MI</t>
  </si>
  <si>
    <t>Xtrackers MSCI World UCITS ETF</t>
  </si>
  <si>
    <t>Azionari ACWI</t>
  </si>
  <si>
    <t>Azionari World</t>
  </si>
  <si>
    <t>XSX6.MI</t>
  </si>
  <si>
    <t>Xtrackers STOXX Europe 600 UCITS ETF 1C</t>
  </si>
  <si>
    <t>EXIE.DE</t>
  </si>
  <si>
    <t>iShares STOXX Europe 600 UCITS ETF (Acc)</t>
  </si>
  <si>
    <t>Azionari Europei</t>
  </si>
  <si>
    <t>Xtrackers MSCI Emerging Markets</t>
  </si>
  <si>
    <t>IEEM.L</t>
  </si>
  <si>
    <t>iShares MSCI EM UCITS ETF (Acc)</t>
  </si>
  <si>
    <t>Azionari Mercati Emergenti</t>
  </si>
  <si>
    <t>XGIN.MI</t>
  </si>
  <si>
    <t>Xtrackers Eurozone Govt Bond</t>
  </si>
  <si>
    <t>IEAG.L</t>
  </si>
  <si>
    <t>iShares Euro Govt Bond (Acc)</t>
  </si>
  <si>
    <t>EXX5.DE</t>
  </si>
  <si>
    <t>iShares Euro Govt Bond 1-3yr (Acc)</t>
  </si>
  <si>
    <t>Obbligazionari Sovereing</t>
  </si>
  <si>
    <t>iShares Euro Govt Bond 1-3yr</t>
  </si>
  <si>
    <t>iShares Euro Govt Bond 7-10yr</t>
  </si>
  <si>
    <t>iShares Euro Govt Bond 15-30yr</t>
  </si>
  <si>
    <t>Obbligazionari Maturity</t>
  </si>
  <si>
    <t>ERNE.MI</t>
  </si>
  <si>
    <t>iShares € Corp Bond 1-3yr UCITS ETF</t>
  </si>
  <si>
    <t>SYB3.DE</t>
  </si>
  <si>
    <t>SPDR Bloomberg 1-3 Year Euro Corp</t>
  </si>
  <si>
    <t>Corporate Euro Short Term</t>
  </si>
  <si>
    <t>SPDR Bloomberg Euro High Yield 0-5y</t>
  </si>
  <si>
    <t xml:space="preserve">High Yeld Euro Short Term </t>
  </si>
  <si>
    <t>XGIN.DE</t>
  </si>
  <si>
    <t>Xtrackers II Eurozone Infl-Linked Bond</t>
  </si>
  <si>
    <t>iShares € Infl-Linked Govt Bond</t>
  </si>
  <si>
    <t>Obbligazionari Inflation Linked</t>
  </si>
  <si>
    <t>Obbligazionari Convertibili Euro</t>
  </si>
  <si>
    <t>CNDX.L</t>
  </si>
  <si>
    <t>iShares NASDAQ 100 UCITS ETF (Acc)</t>
  </si>
  <si>
    <t>ANX.PA</t>
  </si>
  <si>
    <t>Amundi Nasdaq-100 UCITS ETF</t>
  </si>
  <si>
    <t>Lyxor Nasdaq-100 UCITS ETF</t>
  </si>
  <si>
    <t>Azionari Tecnologici USA</t>
  </si>
  <si>
    <t>iShares Core S&amp;P 500 UCITS ETF</t>
  </si>
  <si>
    <t>SXR8.DE</t>
  </si>
  <si>
    <t>iShares Core S&amp;P 500 (Xetra)</t>
  </si>
  <si>
    <t>VUSA.L</t>
  </si>
  <si>
    <t>Vanguard S&amp;P 500 UCITS ETF (Acc)</t>
  </si>
  <si>
    <t>VUAA.MI</t>
  </si>
  <si>
    <t>Azionari S&amp;P500</t>
  </si>
  <si>
    <t>VUG</t>
  </si>
  <si>
    <t>Vanguard Growth ETF (Ticker USA per analisi)</t>
  </si>
  <si>
    <t>IVE</t>
  </si>
  <si>
    <t>iShares S&amp;P 500 Value (Ticker USA per analisi)</t>
  </si>
  <si>
    <t>Azionari Large Growth (MSCI USA)</t>
  </si>
  <si>
    <t>Azionari Large Growth (S&amp;P 500)</t>
  </si>
  <si>
    <t>Azionari  Large Value (S&amp;P 500)</t>
  </si>
  <si>
    <t>WVAL.L</t>
  </si>
  <si>
    <t>iShares Edge MSCI World Small Cap Value</t>
  </si>
  <si>
    <t>SPDR Russell 2000 US Small Cap (Core)*</t>
  </si>
  <si>
    <t>Azonari USA (MSCI USA Small)</t>
  </si>
  <si>
    <t>Azionari Europa (MSCI Europe Small)</t>
  </si>
  <si>
    <t>Azionari Mondo (MSCI World Small)</t>
  </si>
  <si>
    <t>Azionari USA (Russell 2000)</t>
  </si>
  <si>
    <t>Azionario ACWI FTSE</t>
  </si>
  <si>
    <t>Azionario ACWI MSCI</t>
  </si>
  <si>
    <t>SGLD.MI</t>
  </si>
  <si>
    <t>iShares Physical Gold ETC</t>
  </si>
  <si>
    <t>XAD5.DE</t>
  </si>
  <si>
    <t>Xtrackers Physical Gold (EUR Hedged)</t>
  </si>
  <si>
    <t>GBS.MI</t>
  </si>
  <si>
    <t>Gold Bullion Securities</t>
  </si>
  <si>
    <t>CLASSE</t>
  </si>
  <si>
    <t>IUSG</t>
  </si>
  <si>
    <t>iShares Core S&amp;P U.S. Growth</t>
  </si>
  <si>
    <t>IWVU.L</t>
  </si>
  <si>
    <t>iShares Edge MSCI World Value Factor</t>
  </si>
  <si>
    <t>Azionari  Large Value (World)</t>
  </si>
  <si>
    <t>IBGS.MI</t>
  </si>
  <si>
    <t>D5BG.DE</t>
  </si>
  <si>
    <t>Xtrackers II EUR Corporate Bond</t>
  </si>
  <si>
    <t>XHYA.DE</t>
  </si>
  <si>
    <t xml:space="preserve">Xtrackers II EUR High Yield Corporate Bond </t>
  </si>
  <si>
    <t>HIGH.L</t>
  </si>
  <si>
    <t>iShares € Inflation Linked Govt Bond</t>
  </si>
  <si>
    <t>GIST.L</t>
  </si>
  <si>
    <t>Amundi Global Government Inflation-Linked Bond 1-10Y</t>
  </si>
  <si>
    <t>SPF1.DE</t>
  </si>
  <si>
    <t>State Street SPDR FTSE Global Convertible Bond</t>
  </si>
  <si>
    <t>CSBGE3.MI</t>
  </si>
  <si>
    <t>iShares VII PLC - iShares € Govt Bond 1-3yr</t>
  </si>
  <si>
    <t>iShares VII PLC - iShares € Govt Bond 3-7yr</t>
  </si>
  <si>
    <t>SXRQ.DE</t>
  </si>
  <si>
    <t>iShares VII PLC - iShares € Govt Bond 7-10yr</t>
  </si>
  <si>
    <t>XEIN.DE</t>
  </si>
  <si>
    <t>Xtrackers II Global Inflation-Linked Bond UCITS ETF 1C - EUR Hedged</t>
  </si>
  <si>
    <t>State Street SPDR FTSE Global Convertible Bond hdg</t>
  </si>
  <si>
    <t>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</si>
</sst>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#,##0.0000"/>
    <numFmt numFmtId="165" formatCode="#,##0.00000"/>
    <numFmt numFmtId="166" formatCode="#,##0.000000"/>
    <numFmt numFmtId="167" formatCode="[$€-2]\ #,##0.00;[Red]\-[$€-2]\ #,##0.00"/>
    <numFmt numFmtId="168" formatCode="0.0000"/>
    <numFmt numFmtId="169" formatCode="0.0%"/>
    <numFmt numFmtId="170" formatCode="#,##0_ ;[Red]\-#,##0\ "/>
  </numFmts>
  <fonts count="104">
    <font>
      <sz val="11"/>
      <color indexed="8"/>
      <name val="Calibri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10"/>
      <color indexed="11"/>
      <name val="Calibri"/>
      <family val="2"/>
    </font>
    <font>
      <sz val="10"/>
      <color rgb="FF232A31"/>
      <name val="Helvetica Neue"/>
      <family val="2"/>
    </font>
    <font>
      <sz val="10"/>
      <color indexed="11"/>
      <name val="Helvetica Neue"/>
      <family val="2"/>
    </font>
    <font>
      <sz val="11"/>
      <color indexed="8"/>
      <name val="Calibri"/>
      <family val="2"/>
    </font>
    <font>
      <b/>
      <sz val="12"/>
      <color rgb="FF232A31"/>
      <name val="Helvetica Neue"/>
      <family val="2"/>
    </font>
    <font>
      <b/>
      <sz val="18"/>
      <color rgb="FF232A31"/>
      <name val="Helvetica Neue"/>
      <family val="2"/>
    </font>
    <font>
      <sz val="12"/>
      <color rgb="FF232A31"/>
      <name val="Helvetica Neue"/>
      <family val="2"/>
      <scheme val="minor"/>
    </font>
    <font>
      <sz val="14"/>
      <color rgb="FF000000"/>
      <name val="Arial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11"/>
      <color indexed="8"/>
      <name val="Calibri"/>
      <family val="2"/>
    </font>
    <font>
      <b/>
      <sz val="11"/>
      <color rgb="FF000000"/>
      <name val="Helvetica Neue"/>
      <family val="2"/>
    </font>
    <font>
      <sz val="7"/>
      <color indexed="8"/>
      <name val="Helvetica"/>
      <family val="2"/>
    </font>
    <font>
      <sz val="11"/>
      <color indexed="8"/>
      <name val="Arial"/>
      <family val="2"/>
    </font>
    <font>
      <b/>
      <sz val="18"/>
      <color indexed="8"/>
      <name val="Abadi"/>
    </font>
    <font>
      <sz val="18"/>
      <color indexed="8"/>
      <name val="Abadi"/>
    </font>
    <font>
      <b/>
      <sz val="18"/>
      <color rgb="FF000000"/>
      <name val="Abadi"/>
    </font>
    <font>
      <sz val="18"/>
      <color rgb="FF000000"/>
      <name val="Abadi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b/>
      <sz val="10"/>
      <color rgb="FF339966"/>
      <name val="Arial"/>
      <family val="2"/>
    </font>
    <font>
      <sz val="11"/>
      <color rgb="FF444444"/>
      <name val="Open Sans"/>
      <family val="2"/>
    </font>
    <font>
      <sz val="11"/>
      <color indexed="8"/>
      <name val="Calibri"/>
      <family val="2"/>
    </font>
    <font>
      <b/>
      <sz val="16"/>
      <color indexed="8"/>
      <name val="Helvetica Neue"/>
      <family val="2"/>
      <scheme val="major"/>
    </font>
    <font>
      <b/>
      <sz val="16"/>
      <color rgb="FF232A31"/>
      <name val="Helvetica Neue"/>
      <family val="2"/>
      <scheme val="major"/>
    </font>
    <font>
      <b/>
      <u/>
      <sz val="16"/>
      <color theme="10"/>
      <name val="Helvetica Neue"/>
      <family val="2"/>
      <scheme val="major"/>
    </font>
    <font>
      <b/>
      <sz val="16"/>
      <color theme="1"/>
      <name val="Helvetica Neue"/>
      <family val="2"/>
      <scheme val="major"/>
    </font>
    <font>
      <b/>
      <sz val="16"/>
      <color rgb="FF000000"/>
      <name val="Helvetica Neue"/>
      <family val="2"/>
      <scheme val="major"/>
    </font>
    <font>
      <b/>
      <sz val="16"/>
      <color rgb="FF222222"/>
      <name val="Helvetica Neue"/>
      <family val="2"/>
      <scheme val="maj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1BAF6F"/>
      <name val="Arial"/>
      <family val="2"/>
    </font>
    <font>
      <sz val="12"/>
      <color rgb="FFDA6139"/>
      <name val="Arial"/>
      <family val="2"/>
    </font>
    <font>
      <sz val="12"/>
      <color rgb="FF008800"/>
      <name val="Arial"/>
      <family val="2"/>
    </font>
    <font>
      <sz val="13"/>
      <color rgb="FF232A31"/>
      <name val="Helvetica Neue"/>
      <family val="2"/>
    </font>
    <font>
      <sz val="11"/>
      <color indexed="8"/>
      <name val="Source Sans Pro"/>
      <family val="2"/>
    </font>
    <font>
      <sz val="16"/>
      <color indexed="8"/>
      <name val="Abadi MT Condensed Light"/>
      <family val="2"/>
    </font>
    <font>
      <sz val="16"/>
      <color rgb="FF232A31"/>
      <name val="Abadi MT Condensed Light"/>
      <family val="2"/>
    </font>
    <font>
      <sz val="16"/>
      <color theme="1"/>
      <name val="Abadi MT Condensed Light"/>
      <family val="2"/>
    </font>
    <font>
      <sz val="16"/>
      <color rgb="FF000000"/>
      <name val="Abadi MT Condensed Light"/>
      <family val="2"/>
    </font>
    <font>
      <sz val="18"/>
      <color rgb="FF232A31"/>
      <name val="Arial Nova"/>
    </font>
    <font>
      <sz val="18"/>
      <color indexed="8"/>
      <name val="Arial Nova"/>
    </font>
    <font>
      <sz val="18"/>
      <color rgb="FF000000"/>
      <name val="Arial Nova"/>
    </font>
    <font>
      <b/>
      <sz val="24"/>
      <color rgb="FF232A31"/>
      <name val="Helvetica Neue"/>
      <family val="2"/>
    </font>
    <font>
      <sz val="12"/>
      <color rgb="FF000000"/>
      <name val="Abadi MT Condensed Light"/>
      <family val="2"/>
    </font>
    <font>
      <sz val="11"/>
      <color indexed="8"/>
      <name val="Abadi MT Condensed Light"/>
      <family val="2"/>
    </font>
    <font>
      <sz val="24"/>
      <color rgb="FF232A31"/>
      <name val="Abadi MT Condensed Light"/>
      <family val="2"/>
    </font>
    <font>
      <b/>
      <sz val="11"/>
      <color rgb="FF000000"/>
      <name val="Calibri"/>
      <family val="2"/>
    </font>
    <font>
      <sz val="14"/>
      <color indexed="8"/>
      <name val="Helvetica Neue"/>
      <family val="2"/>
      <scheme val="minor"/>
    </font>
    <font>
      <sz val="14"/>
      <color theme="1"/>
      <name val="Helvetica Neue"/>
      <family val="2"/>
      <scheme val="minor"/>
    </font>
    <font>
      <sz val="14"/>
      <color rgb="FF232A31"/>
      <name val="Helvetica Neue"/>
      <family val="2"/>
      <scheme val="minor"/>
    </font>
    <font>
      <sz val="14"/>
      <color rgb="FF000000"/>
      <name val="Helvetica Neue"/>
      <family val="2"/>
      <scheme val="minor"/>
    </font>
    <font>
      <sz val="14"/>
      <color rgb="FF222222"/>
      <name val="Helvetica Neue"/>
      <family val="2"/>
      <scheme val="minor"/>
    </font>
    <font>
      <sz val="14"/>
      <color theme="10"/>
      <name val="Helvetica Neue"/>
      <family val="2"/>
      <scheme val="minor"/>
    </font>
    <font>
      <b/>
      <sz val="15"/>
      <color rgb="FF232A31"/>
      <name val="Helvetica Neue"/>
      <family val="2"/>
    </font>
    <font>
      <sz val="9"/>
      <color rgb="FF727274"/>
      <name val="Helvetica"/>
      <family val="2"/>
    </font>
    <font>
      <b/>
      <sz val="11"/>
      <color rgb="FF232A31"/>
      <name val="Helvetica Neue"/>
      <family val="2"/>
      <scheme val="minor"/>
    </font>
    <font>
      <b/>
      <sz val="11"/>
      <name val="Helvetica Neue"/>
      <family val="2"/>
      <scheme val="minor"/>
    </font>
    <font>
      <b/>
      <sz val="11"/>
      <color rgb="FF000000"/>
      <name val="Helvetica Neue"/>
      <family val="2"/>
      <scheme val="minor"/>
    </font>
    <font>
      <b/>
      <sz val="11"/>
      <color rgb="FF7030A0"/>
      <name val="Helvetica Neue"/>
      <family val="2"/>
      <scheme val="minor"/>
    </font>
    <font>
      <b/>
      <sz val="11"/>
      <color theme="1"/>
      <name val="Helvetica Neue"/>
      <family val="2"/>
      <scheme val="minor"/>
    </font>
    <font>
      <b/>
      <sz val="11"/>
      <color theme="8" tint="0.39997558519241921"/>
      <name val="Helvetica Neue"/>
      <family val="2"/>
      <scheme val="minor"/>
    </font>
    <font>
      <b/>
      <i/>
      <sz val="11"/>
      <name val="Helvetica Neue"/>
      <family val="2"/>
      <scheme val="minor"/>
    </font>
    <font>
      <b/>
      <sz val="11"/>
      <color rgb="FF99A8BD"/>
      <name val="Helvetica Neue"/>
      <family val="2"/>
      <scheme val="minor"/>
    </font>
    <font>
      <sz val="14"/>
      <color rgb="FF232A31"/>
      <name val="Helvetica Neue"/>
      <family val="2"/>
      <scheme val="major"/>
    </font>
    <font>
      <sz val="14"/>
      <color indexed="8"/>
      <name val="Helvetica Neue"/>
      <family val="2"/>
      <scheme val="major"/>
    </font>
    <font>
      <u/>
      <sz val="14"/>
      <color theme="10"/>
      <name val="Helvetica Neue"/>
      <family val="2"/>
      <scheme val="major"/>
    </font>
    <font>
      <sz val="14"/>
      <color theme="8" tint="0.39997558519241921"/>
      <name val="Helvetica Neue"/>
      <family val="2"/>
      <scheme val="major"/>
    </font>
    <font>
      <sz val="14"/>
      <color rgb="FF000000"/>
      <name val="Helvetica Neue"/>
      <family val="2"/>
      <scheme val="major"/>
    </font>
    <font>
      <sz val="14"/>
      <name val="Helvetica Neue"/>
      <family val="2"/>
      <scheme val="major"/>
    </font>
    <font>
      <b/>
      <sz val="24"/>
      <color rgb="FF232A31"/>
      <name val="Arial"/>
      <family val="2"/>
    </font>
    <font>
      <sz val="16"/>
      <color rgb="FF222222"/>
      <name val="Open Sans"/>
      <family val="2"/>
    </font>
    <font>
      <sz val="11"/>
      <color rgb="FF232A31"/>
      <name val="Arial"/>
      <family val="2"/>
    </font>
    <font>
      <sz val="28"/>
      <color rgb="FF222222"/>
      <name val="Open Sans"/>
      <family val="2"/>
    </font>
    <font>
      <sz val="16"/>
      <color rgb="FF222222"/>
      <name val="Open Sans"/>
      <family val="2"/>
    </font>
    <font>
      <sz val="28"/>
      <color rgb="FF222222"/>
      <name val="Open Sans"/>
      <family val="2"/>
    </font>
    <font>
      <b/>
      <sz val="36"/>
      <color rgb="FF232A31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sz val="10"/>
      <color indexed="8"/>
      <name val="Arial Nova"/>
    </font>
    <font>
      <b/>
      <sz val="10"/>
      <color rgb="FF1F3864"/>
      <name val="Arial Nova"/>
    </font>
    <font>
      <sz val="10"/>
      <color rgb="FF000000"/>
      <name val="Arial Nova"/>
    </font>
    <font>
      <sz val="10"/>
      <color theme="1"/>
      <name val="Arial Nova"/>
    </font>
    <font>
      <sz val="10"/>
      <color rgb="FF232A31"/>
      <name val="Arial Nova"/>
    </font>
    <font>
      <sz val="10"/>
      <color theme="10"/>
      <name val="Arial Nova"/>
    </font>
    <font>
      <sz val="10"/>
      <color rgb="FF222222"/>
      <name val="Arial Nova"/>
    </font>
    <font>
      <sz val="8"/>
      <name val="Calibri"/>
      <family val="2"/>
    </font>
    <font>
      <sz val="11"/>
      <color indexed="8"/>
      <name val="Arial Nova"/>
    </font>
    <font>
      <b/>
      <sz val="10"/>
      <color rgb="FF232A31"/>
      <name val="Arial Nova"/>
    </font>
    <font>
      <u/>
      <sz val="10"/>
      <color theme="10"/>
      <name val="Arial Nova"/>
    </font>
    <font>
      <b/>
      <sz val="10"/>
      <color rgb="FF1F3864"/>
      <name val="Helvetica Neue"/>
      <family val="2"/>
      <scheme val="major"/>
    </font>
    <font>
      <b/>
      <sz val="10"/>
      <color rgb="FF232A31"/>
      <name val="Helvetica Neue"/>
      <family val="2"/>
      <scheme val="major"/>
    </font>
    <font>
      <sz val="10"/>
      <color rgb="FF000000"/>
      <name val="Helvetica Neue"/>
      <family val="2"/>
      <scheme val="major"/>
    </font>
    <font>
      <sz val="10"/>
      <color indexed="8"/>
      <name val="Helvetica Neue"/>
      <family val="2"/>
      <scheme val="major"/>
    </font>
    <font>
      <u/>
      <sz val="10"/>
      <color theme="10"/>
      <name val="Helvetica Neue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">
    <xf numFmtId="0" fontId="0" fillId="0" borderId="0" applyNumberFormat="0" applyFill="0" applyBorder="0" applyProtection="0"/>
    <xf numFmtId="0" fontId="11" fillId="0" borderId="0" applyNumberFormat="0" applyFill="0" applyBorder="0" applyAlignment="0" applyProtection="0"/>
    <xf numFmtId="9" fontId="13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NumberFormat="1"/>
    <xf numFmtId="0" fontId="1" fillId="0" borderId="2" xfId="0" applyFont="1" applyBorder="1"/>
    <xf numFmtId="0" fontId="0" fillId="0" borderId="3" xfId="0" applyBorder="1"/>
    <xf numFmtId="49" fontId="2" fillId="2" borderId="1" xfId="0" applyNumberFormat="1" applyFont="1" applyFill="1" applyBorder="1" applyAlignment="1">
      <alignment horizontal="center" vertical="top"/>
    </xf>
    <xf numFmtId="49" fontId="2" fillId="0" borderId="4" xfId="0" applyNumberFormat="1" applyFont="1" applyBorder="1"/>
    <xf numFmtId="49" fontId="3" fillId="0" borderId="5" xfId="0" applyNumberFormat="1" applyFont="1" applyBorder="1"/>
    <xf numFmtId="49" fontId="2" fillId="0" borderId="2" xfId="0" applyNumberFormat="1" applyFont="1" applyBorder="1"/>
    <xf numFmtId="49" fontId="3" fillId="0" borderId="3" xfId="0" applyNumberFormat="1" applyFont="1" applyBorder="1"/>
    <xf numFmtId="0" fontId="2" fillId="0" borderId="0" xfId="0" applyNumberFormat="1" applyFont="1"/>
    <xf numFmtId="0" fontId="2" fillId="0" borderId="2" xfId="0" applyFont="1" applyBorder="1"/>
    <xf numFmtId="49" fontId="2" fillId="0" borderId="3" xfId="0" applyNumberFormat="1" applyFont="1" applyBorder="1"/>
    <xf numFmtId="0" fontId="4" fillId="0" borderId="0" xfId="0" applyFont="1"/>
    <xf numFmtId="49" fontId="5" fillId="0" borderId="2" xfId="0" applyNumberFormat="1" applyFont="1" applyBorder="1" applyAlignment="1">
      <alignment readingOrder="1"/>
    </xf>
    <xf numFmtId="49" fontId="5" fillId="0" borderId="3" xfId="0" applyNumberFormat="1" applyFont="1" applyBorder="1" applyAlignment="1">
      <alignment readingOrder="1"/>
    </xf>
    <xf numFmtId="0" fontId="2" fillId="0" borderId="3" xfId="0" applyFont="1" applyBorder="1"/>
    <xf numFmtId="0" fontId="2" fillId="0" borderId="6" xfId="0" applyNumberFormat="1" applyFont="1" applyFill="1" applyBorder="1"/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6" fillId="0" borderId="0" xfId="0" quotePrefix="1" applyFont="1"/>
    <xf numFmtId="166" fontId="6" fillId="0" borderId="0" xfId="0" applyNumberFormat="1" applyFont="1"/>
    <xf numFmtId="0" fontId="10" fillId="0" borderId="0" xfId="0" applyFont="1"/>
    <xf numFmtId="10" fontId="0" fillId="0" borderId="0" xfId="0" applyNumberFormat="1"/>
    <xf numFmtId="10" fontId="10" fillId="0" borderId="0" xfId="0" applyNumberFormat="1" applyFont="1"/>
    <xf numFmtId="4" fontId="10" fillId="0" borderId="0" xfId="0" applyNumberFormat="1" applyFont="1"/>
    <xf numFmtId="3" fontId="10" fillId="0" borderId="0" xfId="0" applyNumberFormat="1" applyFont="1"/>
    <xf numFmtId="0" fontId="11" fillId="0" borderId="0" xfId="1"/>
    <xf numFmtId="0" fontId="12" fillId="0" borderId="0" xfId="0" applyFont="1"/>
    <xf numFmtId="0" fontId="6" fillId="0" borderId="0" xfId="0" applyNumberFormat="1" applyFont="1"/>
    <xf numFmtId="0" fontId="14" fillId="0" borderId="0" xfId="0" applyFont="1"/>
    <xf numFmtId="8" fontId="0" fillId="0" borderId="0" xfId="0" applyNumberFormat="1"/>
    <xf numFmtId="9" fontId="0" fillId="0" borderId="0" xfId="2" applyFont="1"/>
    <xf numFmtId="0" fontId="15" fillId="0" borderId="0" xfId="0" applyFont="1"/>
    <xf numFmtId="0" fontId="16" fillId="0" borderId="0" xfId="0" applyFont="1"/>
    <xf numFmtId="9" fontId="16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10" fontId="18" fillId="0" borderId="0" xfId="2" applyNumberFormat="1" applyFont="1"/>
    <xf numFmtId="11" fontId="20" fillId="0" borderId="0" xfId="0" applyNumberFormat="1" applyFont="1"/>
    <xf numFmtId="0" fontId="21" fillId="0" borderId="0" xfId="0" applyFont="1"/>
    <xf numFmtId="10" fontId="22" fillId="0" borderId="0" xfId="0" applyNumberFormat="1" applyFont="1"/>
    <xf numFmtId="167" fontId="21" fillId="0" borderId="0" xfId="0" applyNumberFormat="1" applyFont="1"/>
    <xf numFmtId="10" fontId="21" fillId="0" borderId="0" xfId="0" applyNumberFormat="1" applyFont="1"/>
    <xf numFmtId="0" fontId="23" fillId="0" borderId="0" xfId="0" applyFont="1"/>
    <xf numFmtId="10" fontId="24" fillId="0" borderId="0" xfId="0" applyNumberFormat="1" applyFont="1"/>
    <xf numFmtId="0" fontId="25" fillId="0" borderId="0" xfId="0" applyFont="1"/>
    <xf numFmtId="9" fontId="21" fillId="0" borderId="0" xfId="0" applyNumberFormat="1" applyFont="1"/>
    <xf numFmtId="43" fontId="18" fillId="0" borderId="0" xfId="3" applyFont="1"/>
    <xf numFmtId="49" fontId="27" fillId="2" borderId="1" xfId="0" applyNumberFormat="1" applyFont="1" applyFill="1" applyBorder="1" applyAlignment="1">
      <alignment horizontal="center" vertical="top"/>
    </xf>
    <xf numFmtId="0" fontId="27" fillId="0" borderId="0" xfId="0" applyFont="1"/>
    <xf numFmtId="0" fontId="28" fillId="0" borderId="0" xfId="0" applyFont="1"/>
    <xf numFmtId="0" fontId="29" fillId="0" borderId="0" xfId="1" applyFont="1"/>
    <xf numFmtId="49" fontId="27" fillId="0" borderId="3" xfId="0" applyNumberFormat="1" applyFont="1" applyBorder="1"/>
    <xf numFmtId="49" fontId="27" fillId="0" borderId="2" xfId="0" applyNumberFormat="1" applyFont="1" applyBorder="1"/>
    <xf numFmtId="0" fontId="27" fillId="0" borderId="0" xfId="0" applyNumberFormat="1" applyFont="1"/>
    <xf numFmtId="0" fontId="30" fillId="0" borderId="0" xfId="0" applyFont="1"/>
    <xf numFmtId="0" fontId="31" fillId="0" borderId="0" xfId="0" applyFont="1"/>
    <xf numFmtId="49" fontId="31" fillId="0" borderId="7" xfId="0" applyNumberFormat="1" applyFont="1" applyBorder="1"/>
    <xf numFmtId="0" fontId="31" fillId="0" borderId="7" xfId="0" applyFont="1" applyBorder="1"/>
    <xf numFmtId="49" fontId="31" fillId="0" borderId="8" xfId="0" applyNumberFormat="1" applyFont="1" applyBorder="1"/>
    <xf numFmtId="0" fontId="31" fillId="0" borderId="8" xfId="0" applyFont="1" applyBorder="1"/>
    <xf numFmtId="0" fontId="31" fillId="0" borderId="9" xfId="0" applyFont="1" applyBorder="1"/>
    <xf numFmtId="0" fontId="30" fillId="3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/>
    </xf>
    <xf numFmtId="0" fontId="32" fillId="0" borderId="0" xfId="0" applyFont="1"/>
    <xf numFmtId="0" fontId="33" fillId="0" borderId="10" xfId="0" applyFont="1" applyBorder="1" applyAlignment="1">
      <alignment vertical="top" wrapText="1"/>
    </xf>
    <xf numFmtId="0" fontId="33" fillId="0" borderId="11" xfId="0" applyFont="1" applyBorder="1" applyAlignment="1">
      <alignment vertical="top" wrapText="1"/>
    </xf>
    <xf numFmtId="0" fontId="33" fillId="0" borderId="12" xfId="0" applyFont="1" applyBorder="1" applyAlignment="1">
      <alignment vertical="top" wrapText="1"/>
    </xf>
    <xf numFmtId="43" fontId="0" fillId="0" borderId="0" xfId="3" applyFont="1"/>
    <xf numFmtId="168" fontId="0" fillId="0" borderId="0" xfId="0" applyNumberForma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2" fontId="18" fillId="0" borderId="0" xfId="0" applyNumberFormat="1" applyFont="1"/>
    <xf numFmtId="0" fontId="39" fillId="0" borderId="0" xfId="0" applyFont="1"/>
    <xf numFmtId="49" fontId="40" fillId="0" borderId="0" xfId="0" applyNumberFormat="1" applyFont="1" applyAlignment="1">
      <alignment horizontal="left" vertical="top" shrinkToFit="1"/>
    </xf>
    <xf numFmtId="0" fontId="40" fillId="0" borderId="0" xfId="0" applyFont="1" applyAlignment="1">
      <alignment horizontal="left" shrinkToFit="1"/>
    </xf>
    <xf numFmtId="0" fontId="41" fillId="0" borderId="0" xfId="0" applyFont="1"/>
    <xf numFmtId="0" fontId="41" fillId="0" borderId="0" xfId="0" applyFont="1" applyFill="1" applyBorder="1"/>
    <xf numFmtId="49" fontId="41" fillId="2" borderId="1" xfId="0" applyNumberFormat="1" applyFont="1" applyFill="1" applyBorder="1" applyAlignment="1">
      <alignment horizontal="center" vertical="top"/>
    </xf>
    <xf numFmtId="0" fontId="42" fillId="0" borderId="0" xfId="0" applyFont="1"/>
    <xf numFmtId="0" fontId="43" fillId="0" borderId="0" xfId="0" applyFont="1"/>
    <xf numFmtId="0" fontId="44" fillId="0" borderId="0" xfId="0" applyFont="1"/>
    <xf numFmtId="49" fontId="44" fillId="0" borderId="7" xfId="0" applyNumberFormat="1" applyFont="1" applyBorder="1"/>
    <xf numFmtId="0" fontId="44" fillId="0" borderId="7" xfId="0" applyFont="1" applyBorder="1"/>
    <xf numFmtId="49" fontId="44" fillId="0" borderId="8" xfId="0" applyNumberFormat="1" applyFont="1" applyBorder="1"/>
    <xf numFmtId="0" fontId="44" fillId="0" borderId="8" xfId="0" applyFont="1" applyBorder="1"/>
    <xf numFmtId="0" fontId="44" fillId="0" borderId="9" xfId="0" applyFont="1" applyBorder="1"/>
    <xf numFmtId="0" fontId="45" fillId="0" borderId="0" xfId="0" applyFont="1"/>
    <xf numFmtId="49" fontId="46" fillId="2" borderId="1" xfId="0" applyNumberFormat="1" applyFont="1" applyFill="1" applyBorder="1" applyAlignment="1">
      <alignment horizontal="center" vertical="top"/>
    </xf>
    <xf numFmtId="0" fontId="46" fillId="0" borderId="0" xfId="0" applyFont="1"/>
    <xf numFmtId="49" fontId="46" fillId="2" borderId="0" xfId="0" applyNumberFormat="1" applyFont="1" applyFill="1" applyBorder="1" applyAlignment="1">
      <alignment horizontal="center" vertical="top"/>
    </xf>
    <xf numFmtId="0" fontId="47" fillId="0" borderId="0" xfId="0" applyFont="1"/>
    <xf numFmtId="49" fontId="46" fillId="2" borderId="0" xfId="0" applyNumberFormat="1" applyFont="1" applyFill="1" applyBorder="1" applyAlignment="1">
      <alignment horizontal="left" vertical="top"/>
    </xf>
    <xf numFmtId="0" fontId="46" fillId="0" borderId="0" xfId="0" applyFont="1" applyAlignment="1">
      <alignment horizontal="left"/>
    </xf>
    <xf numFmtId="2" fontId="6" fillId="0" borderId="0" xfId="0" applyNumberFormat="1" applyFont="1"/>
    <xf numFmtId="9" fontId="0" fillId="0" borderId="0" xfId="0" applyNumberForma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49" fontId="41" fillId="2" borderId="1" xfId="0" applyNumberFormat="1" applyFont="1" applyFill="1" applyBorder="1" applyAlignment="1">
      <alignment horizontal="left" vertical="top"/>
    </xf>
    <xf numFmtId="169" fontId="0" fillId="0" borderId="0" xfId="2" applyNumberFormat="1" applyFont="1"/>
    <xf numFmtId="0" fontId="52" fillId="0" borderId="0" xfId="0" applyFont="1"/>
    <xf numFmtId="49" fontId="53" fillId="2" borderId="1" xfId="0" applyNumberFormat="1" applyFont="1" applyFill="1" applyBorder="1" applyAlignment="1">
      <alignment horizontal="left" vertical="top"/>
    </xf>
    <xf numFmtId="49" fontId="53" fillId="2" borderId="1" xfId="0" applyNumberFormat="1" applyFont="1" applyFill="1" applyBorder="1" applyAlignment="1">
      <alignment horizontal="center" vertical="top"/>
    </xf>
    <xf numFmtId="0" fontId="53" fillId="0" borderId="0" xfId="0" applyFont="1"/>
    <xf numFmtId="0" fontId="53" fillId="0" borderId="0" xfId="0" applyFont="1" applyBorder="1"/>
    <xf numFmtId="0" fontId="53" fillId="0" borderId="0" xfId="0" applyFont="1" applyFill="1" applyBorder="1"/>
    <xf numFmtId="0" fontId="54" fillId="0" borderId="0" xfId="0" applyFont="1"/>
    <xf numFmtId="0" fontId="54" fillId="0" borderId="0" xfId="0" applyFont="1" applyBorder="1"/>
    <xf numFmtId="0" fontId="55" fillId="0" borderId="0" xfId="0" applyFont="1" applyBorder="1"/>
    <xf numFmtId="0" fontId="55" fillId="0" borderId="0" xfId="0" applyFont="1"/>
    <xf numFmtId="49" fontId="56" fillId="0" borderId="7" xfId="0" applyNumberFormat="1" applyFont="1" applyBorder="1"/>
    <xf numFmtId="0" fontId="56" fillId="0" borderId="7" xfId="0" applyFont="1" applyBorder="1"/>
    <xf numFmtId="49" fontId="56" fillId="0" borderId="8" xfId="0" applyNumberFormat="1" applyFont="1" applyBorder="1"/>
    <xf numFmtId="0" fontId="56" fillId="0" borderId="8" xfId="0" applyFont="1" applyBorder="1"/>
    <xf numFmtId="0" fontId="56" fillId="0" borderId="0" xfId="0" applyFont="1"/>
    <xf numFmtId="0" fontId="56" fillId="0" borderId="9" xfId="0" applyFont="1" applyBorder="1"/>
    <xf numFmtId="49" fontId="53" fillId="0" borderId="2" xfId="0" applyNumberFormat="1" applyFont="1" applyBorder="1"/>
    <xf numFmtId="49" fontId="53" fillId="0" borderId="3" xfId="0" applyNumberFormat="1" applyFont="1" applyBorder="1"/>
    <xf numFmtId="0" fontId="57" fillId="0" borderId="0" xfId="0" applyFont="1"/>
    <xf numFmtId="0" fontId="57" fillId="0" borderId="0" xfId="0" applyFont="1" applyBorder="1"/>
    <xf numFmtId="0" fontId="56" fillId="0" borderId="0" xfId="0" applyFont="1" applyBorder="1"/>
    <xf numFmtId="0" fontId="58" fillId="0" borderId="0" xfId="1" applyFont="1"/>
    <xf numFmtId="0" fontId="58" fillId="0" borderId="0" xfId="1" applyFont="1" applyBorder="1"/>
    <xf numFmtId="0" fontId="59" fillId="0" borderId="0" xfId="0" applyFont="1"/>
    <xf numFmtId="0" fontId="60" fillId="0" borderId="0" xfId="0" applyFont="1"/>
    <xf numFmtId="0" fontId="17" fillId="0" borderId="0" xfId="0" applyFont="1" applyBorder="1"/>
    <xf numFmtId="0" fontId="48" fillId="0" borderId="0" xfId="0" applyFont="1" applyBorder="1"/>
    <xf numFmtId="0" fontId="61" fillId="0" borderId="0" xfId="0" applyFont="1"/>
    <xf numFmtId="170" fontId="62" fillId="0" borderId="13" xfId="0" applyNumberFormat="1" applyFont="1" applyBorder="1"/>
    <xf numFmtId="0" fontId="63" fillId="0" borderId="0" xfId="0" applyFont="1"/>
    <xf numFmtId="170" fontId="64" fillId="5" borderId="13" xfId="0" applyNumberFormat="1" applyFont="1" applyFill="1" applyBorder="1"/>
    <xf numFmtId="170" fontId="65" fillId="0" borderId="13" xfId="0" applyNumberFormat="1" applyFont="1" applyBorder="1"/>
    <xf numFmtId="170" fontId="66" fillId="0" borderId="13" xfId="0" applyNumberFormat="1" applyFont="1" applyBorder="1"/>
    <xf numFmtId="170" fontId="67" fillId="0" borderId="13" xfId="0" applyNumberFormat="1" applyFont="1" applyBorder="1"/>
    <xf numFmtId="170" fontId="68" fillId="0" borderId="0" xfId="0" applyNumberFormat="1" applyFont="1"/>
    <xf numFmtId="170" fontId="65" fillId="6" borderId="13" xfId="0" applyNumberFormat="1" applyFont="1" applyFill="1" applyBorder="1"/>
    <xf numFmtId="170" fontId="62" fillId="0" borderId="13" xfId="0" applyNumberFormat="1" applyFont="1" applyFill="1" applyBorder="1"/>
    <xf numFmtId="0" fontId="61" fillId="0" borderId="0" xfId="0" applyFont="1" applyBorder="1"/>
    <xf numFmtId="0" fontId="63" fillId="0" borderId="0" xfId="0" applyFont="1" applyBorder="1"/>
    <xf numFmtId="0" fontId="69" fillId="0" borderId="0" xfId="0" applyFont="1"/>
    <xf numFmtId="0" fontId="70" fillId="0" borderId="0" xfId="0" applyFont="1"/>
    <xf numFmtId="0" fontId="71" fillId="0" borderId="0" xfId="1" applyFont="1"/>
    <xf numFmtId="170" fontId="72" fillId="0" borderId="13" xfId="0" applyNumberFormat="1" applyFont="1" applyBorder="1"/>
    <xf numFmtId="0" fontId="73" fillId="0" borderId="0" xfId="0" applyFont="1"/>
    <xf numFmtId="49" fontId="70" fillId="2" borderId="1" xfId="0" applyNumberFormat="1" applyFont="1" applyFill="1" applyBorder="1" applyAlignment="1">
      <alignment horizontal="left" vertical="top"/>
    </xf>
    <xf numFmtId="49" fontId="70" fillId="2" borderId="1" xfId="0" applyNumberFormat="1" applyFont="1" applyFill="1" applyBorder="1" applyAlignment="1">
      <alignment horizontal="center" vertical="top"/>
    </xf>
    <xf numFmtId="3" fontId="70" fillId="0" borderId="0" xfId="0" applyNumberFormat="1" applyFont="1"/>
    <xf numFmtId="9" fontId="70" fillId="0" borderId="0" xfId="2" applyFont="1"/>
    <xf numFmtId="0" fontId="70" fillId="0" borderId="0" xfId="0" applyFont="1" applyBorder="1"/>
    <xf numFmtId="14" fontId="70" fillId="0" borderId="0" xfId="0" applyNumberFormat="1" applyFont="1"/>
    <xf numFmtId="0" fontId="70" fillId="0" borderId="0" xfId="0" applyFont="1" applyFill="1" applyBorder="1"/>
    <xf numFmtId="9" fontId="70" fillId="0" borderId="0" xfId="0" applyNumberFormat="1" applyFont="1"/>
    <xf numFmtId="0" fontId="69" fillId="0" borderId="0" xfId="0" applyFont="1" applyBorder="1"/>
    <xf numFmtId="170" fontId="74" fillId="0" borderId="13" xfId="0" applyNumberFormat="1" applyFont="1" applyFill="1" applyBorder="1"/>
    <xf numFmtId="170" fontId="74" fillId="0" borderId="0" xfId="0" applyNumberFormat="1" applyFont="1" applyFill="1" applyBorder="1"/>
    <xf numFmtId="0" fontId="75" fillId="0" borderId="0" xfId="0" applyFont="1"/>
    <xf numFmtId="0" fontId="76" fillId="0" borderId="0" xfId="0" applyFont="1"/>
    <xf numFmtId="6" fontId="0" fillId="0" borderId="0" xfId="0" applyNumberFormat="1"/>
    <xf numFmtId="0" fontId="77" fillId="0" borderId="0" xfId="0" applyFont="1"/>
    <xf numFmtId="10" fontId="77" fillId="0" borderId="0" xfId="0" applyNumberFormat="1" applyFont="1"/>
    <xf numFmtId="3" fontId="77" fillId="0" borderId="0" xfId="0" applyNumberFormat="1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6" fillId="0" borderId="0" xfId="0" applyFont="1" applyFill="1" applyBorder="1"/>
    <xf numFmtId="49" fontId="70" fillId="2" borderId="0" xfId="0" applyNumberFormat="1" applyFont="1" applyFill="1" applyBorder="1" applyAlignment="1">
      <alignment horizontal="left" vertical="top"/>
    </xf>
    <xf numFmtId="0" fontId="81" fillId="0" borderId="0" xfId="0" applyFont="1"/>
    <xf numFmtId="0" fontId="84" fillId="7" borderId="14" xfId="0" applyFont="1" applyFill="1" applyBorder="1" applyAlignment="1">
      <alignment horizontal="center" vertical="center"/>
    </xf>
    <xf numFmtId="0" fontId="86" fillId="9" borderId="14" xfId="0" applyFont="1" applyFill="1" applyBorder="1" applyAlignment="1">
      <alignment horizontal="center" vertical="center"/>
    </xf>
    <xf numFmtId="0" fontId="87" fillId="9" borderId="14" xfId="0" applyFont="1" applyFill="1" applyBorder="1" applyAlignment="1">
      <alignment horizontal="left" vertical="center" indent="1"/>
    </xf>
    <xf numFmtId="0" fontId="87" fillId="9" borderId="14" xfId="0" applyFont="1" applyFill="1" applyBorder="1" applyAlignment="1">
      <alignment horizontal="center" vertical="center"/>
    </xf>
    <xf numFmtId="0" fontId="87" fillId="9" borderId="14" xfId="0" applyFont="1" applyFill="1" applyBorder="1" applyAlignment="1">
      <alignment horizontal="left" vertical="center"/>
    </xf>
    <xf numFmtId="0" fontId="86" fillId="10" borderId="14" xfId="0" applyFont="1" applyFill="1" applyBorder="1" applyAlignment="1">
      <alignment horizontal="center" vertical="center"/>
    </xf>
    <xf numFmtId="0" fontId="87" fillId="10" borderId="14" xfId="0" applyFont="1" applyFill="1" applyBorder="1" applyAlignment="1">
      <alignment horizontal="left" vertical="center" indent="1"/>
    </xf>
    <xf numFmtId="0" fontId="87" fillId="10" borderId="14" xfId="0" applyFont="1" applyFill="1" applyBorder="1" applyAlignment="1">
      <alignment horizontal="center" vertical="center"/>
    </xf>
    <xf numFmtId="0" fontId="87" fillId="10" borderId="14" xfId="0" applyFont="1" applyFill="1" applyBorder="1" applyAlignment="1">
      <alignment horizontal="left" vertical="center"/>
    </xf>
    <xf numFmtId="0" fontId="86" fillId="11" borderId="14" xfId="0" applyFont="1" applyFill="1" applyBorder="1" applyAlignment="1">
      <alignment horizontal="center" vertical="center"/>
    </xf>
    <xf numFmtId="0" fontId="87" fillId="11" borderId="14" xfId="0" applyFont="1" applyFill="1" applyBorder="1" applyAlignment="1">
      <alignment horizontal="left" vertical="center" indent="1"/>
    </xf>
    <xf numFmtId="0" fontId="87" fillId="11" borderId="14" xfId="0" applyFont="1" applyFill="1" applyBorder="1" applyAlignment="1">
      <alignment horizontal="center" vertical="center"/>
    </xf>
    <xf numFmtId="0" fontId="87" fillId="11" borderId="14" xfId="0" applyFont="1" applyFill="1" applyBorder="1" applyAlignment="1">
      <alignment horizontal="left" vertical="center"/>
    </xf>
    <xf numFmtId="49" fontId="88" fillId="2" borderId="1" xfId="0" applyNumberFormat="1" applyFont="1" applyFill="1" applyBorder="1" applyAlignment="1">
      <alignment horizontal="left" vertical="top"/>
    </xf>
    <xf numFmtId="49" fontId="88" fillId="2" borderId="1" xfId="0" applyNumberFormat="1" applyFont="1" applyFill="1" applyBorder="1" applyAlignment="1">
      <alignment horizontal="center" vertical="top"/>
    </xf>
    <xf numFmtId="0" fontId="88" fillId="0" borderId="0" xfId="0" applyFont="1"/>
    <xf numFmtId="0" fontId="89" fillId="9" borderId="14" xfId="0" applyFont="1" applyFill="1" applyBorder="1" applyAlignment="1">
      <alignment horizontal="center" vertical="center"/>
    </xf>
    <xf numFmtId="0" fontId="90" fillId="9" borderId="14" xfId="0" applyFont="1" applyFill="1" applyBorder="1" applyAlignment="1">
      <alignment horizontal="left" vertical="center" indent="1"/>
    </xf>
    <xf numFmtId="0" fontId="90" fillId="9" borderId="14" xfId="0" applyFont="1" applyFill="1" applyBorder="1" applyAlignment="1">
      <alignment horizontal="center" vertical="center"/>
    </xf>
    <xf numFmtId="0" fontId="91" fillId="0" borderId="0" xfId="0" applyFont="1" applyBorder="1"/>
    <xf numFmtId="0" fontId="92" fillId="0" borderId="0" xfId="0" applyFont="1" applyBorder="1"/>
    <xf numFmtId="0" fontId="91" fillId="0" borderId="0" xfId="0" applyFont="1"/>
    <xf numFmtId="0" fontId="92" fillId="0" borderId="0" xfId="0" applyFont="1"/>
    <xf numFmtId="49" fontId="90" fillId="0" borderId="7" xfId="0" applyNumberFormat="1" applyFont="1" applyBorder="1"/>
    <xf numFmtId="0" fontId="90" fillId="0" borderId="7" xfId="0" applyFont="1" applyBorder="1"/>
    <xf numFmtId="49" fontId="90" fillId="0" borderId="8" xfId="0" applyNumberFormat="1" applyFont="1" applyBorder="1"/>
    <xf numFmtId="0" fontId="90" fillId="0" borderId="8" xfId="0" applyFont="1" applyBorder="1"/>
    <xf numFmtId="0" fontId="90" fillId="0" borderId="0" xfId="0" applyFont="1"/>
    <xf numFmtId="0" fontId="90" fillId="0" borderId="9" xfId="0" applyFont="1" applyBorder="1"/>
    <xf numFmtId="0" fontId="88" fillId="0" borderId="0" xfId="0" applyFont="1" applyBorder="1"/>
    <xf numFmtId="0" fontId="93" fillId="0" borderId="0" xfId="1" applyFont="1"/>
    <xf numFmtId="0" fontId="93" fillId="0" borderId="0" xfId="1" applyFont="1" applyBorder="1"/>
    <xf numFmtId="49" fontId="88" fillId="0" borderId="2" xfId="0" applyNumberFormat="1" applyFont="1" applyBorder="1"/>
    <xf numFmtId="49" fontId="88" fillId="0" borderId="3" xfId="0" applyNumberFormat="1" applyFont="1" applyBorder="1"/>
    <xf numFmtId="0" fontId="94" fillId="0" borderId="0" xfId="0" applyFont="1"/>
    <xf numFmtId="0" fontId="94" fillId="0" borderId="0" xfId="0" applyFont="1" applyBorder="1"/>
    <xf numFmtId="0" fontId="90" fillId="0" borderId="0" xfId="0" applyFont="1" applyBorder="1"/>
    <xf numFmtId="0" fontId="88" fillId="0" borderId="0" xfId="0" applyFont="1" applyFill="1" applyBorder="1"/>
    <xf numFmtId="0" fontId="87" fillId="10" borderId="15" xfId="0" applyFont="1" applyFill="1" applyBorder="1" applyAlignment="1">
      <alignment horizontal="center" vertical="center"/>
    </xf>
    <xf numFmtId="0" fontId="87" fillId="10" borderId="0" xfId="0" applyFont="1" applyFill="1" applyBorder="1" applyAlignment="1">
      <alignment horizontal="center" vertical="center"/>
    </xf>
    <xf numFmtId="0" fontId="96" fillId="0" borderId="0" xfId="0" applyFont="1"/>
    <xf numFmtId="0" fontId="97" fillId="0" borderId="0" xfId="0" applyFont="1"/>
    <xf numFmtId="0" fontId="98" fillId="0" borderId="0" xfId="1" applyFont="1"/>
    <xf numFmtId="49" fontId="96" fillId="2" borderId="1" xfId="0" applyNumberFormat="1" applyFont="1" applyFill="1" applyBorder="1" applyAlignment="1">
      <alignment horizontal="left" vertical="top"/>
    </xf>
    <xf numFmtId="49" fontId="96" fillId="2" borderId="1" xfId="0" applyNumberFormat="1" applyFont="1" applyFill="1" applyBorder="1" applyAlignment="1">
      <alignment horizontal="center" vertical="top"/>
    </xf>
    <xf numFmtId="0" fontId="85" fillId="8" borderId="0" xfId="0" applyFont="1" applyFill="1" applyAlignment="1">
      <alignment horizontal="left" vertical="center" indent="1"/>
    </xf>
    <xf numFmtId="0" fontId="0" fillId="0" borderId="0" xfId="0"/>
    <xf numFmtId="0" fontId="82" fillId="7" borderId="0" xfId="0" applyFont="1" applyFill="1" applyAlignment="1">
      <alignment horizontal="center" vertical="center"/>
    </xf>
    <xf numFmtId="0" fontId="83" fillId="0" borderId="0" xfId="0" applyFont="1" applyAlignment="1">
      <alignment horizontal="center"/>
    </xf>
    <xf numFmtId="0" fontId="99" fillId="9" borderId="14" xfId="0" applyFont="1" applyFill="1" applyBorder="1" applyAlignment="1">
      <alignment horizontal="center" vertical="center"/>
    </xf>
    <xf numFmtId="0" fontId="100" fillId="0" borderId="0" xfId="0" applyFont="1"/>
    <xf numFmtId="0" fontId="101" fillId="9" borderId="14" xfId="0" applyFont="1" applyFill="1" applyBorder="1" applyAlignment="1">
      <alignment horizontal="center" vertical="center"/>
    </xf>
    <xf numFmtId="0" fontId="102" fillId="0" borderId="0" xfId="0" applyFont="1"/>
    <xf numFmtId="49" fontId="102" fillId="2" borderId="1" xfId="0" applyNumberFormat="1" applyFont="1" applyFill="1" applyBorder="1" applyAlignment="1">
      <alignment horizontal="left" vertical="top"/>
    </xf>
    <xf numFmtId="0" fontId="103" fillId="0" borderId="0" xfId="1" applyFont="1"/>
    <xf numFmtId="0" fontId="102" fillId="0" borderId="3" xfId="0" applyFont="1" applyBorder="1"/>
    <xf numFmtId="49" fontId="102" fillId="2" borderId="1" xfId="0" applyNumberFormat="1" applyFont="1" applyFill="1" applyBorder="1" applyAlignment="1">
      <alignment horizontal="center" vertical="top"/>
    </xf>
    <xf numFmtId="0" fontId="101" fillId="10" borderId="15" xfId="0" applyFont="1" applyFill="1" applyBorder="1" applyAlignment="1">
      <alignment horizontal="center" vertical="center"/>
    </xf>
    <xf numFmtId="0" fontId="101" fillId="10" borderId="0" xfId="0" applyFont="1" applyFill="1" applyBorder="1" applyAlignment="1">
      <alignment horizontal="center" vertical="center"/>
    </xf>
  </cellXfs>
  <cellStyles count="4">
    <cellStyle name="Collegamento ipertestuale" xfId="1" builtinId="8"/>
    <cellStyle name="Migliaia" xfId="3" builtinId="3"/>
    <cellStyle name="Normale" xfId="0" builtinId="0"/>
    <cellStyle name="Percentuale" xfId="2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strike val="0"/>
        <outline val="0"/>
        <shadow val="0"/>
        <vertAlign val="baseline"/>
        <sz val="10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232A31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2.4710953009046459E-2"/>
          <c:y val="5.9536784741144426E-2"/>
          <c:w val="0.94821628895372845"/>
          <c:h val="0.86214078825977813"/>
        </c:manualLayout>
      </c:layout>
      <c:lineChart>
        <c:grouping val="standard"/>
        <c:varyColors val="0"/>
        <c:ser>
          <c:idx val="0"/>
          <c:order val="0"/>
          <c:tx>
            <c:strRef>
              <c:f>Foglio2!$N$1</c:f>
              <c:strCache>
                <c:ptCount val="1"/>
                <c:pt idx="0">
                  <c:v>'AZ. WORLD SRI EUR'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Foglio2!$N$2:$N$202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1.0030148664102299</c:v>
                </c:pt>
                <c:pt idx="2">
                  <c:v>0.98326229337769011</c:v>
                </c:pt>
                <c:pt idx="3">
                  <c:v>0.98097515334234342</c:v>
                </c:pt>
                <c:pt idx="4">
                  <c:v>0.99261877534047216</c:v>
                </c:pt>
                <c:pt idx="5">
                  <c:v>0.97681671691444039</c:v>
                </c:pt>
                <c:pt idx="6">
                  <c:v>0.97920781786048461</c:v>
                </c:pt>
                <c:pt idx="7">
                  <c:v>0.97536126416467417</c:v>
                </c:pt>
                <c:pt idx="8">
                  <c:v>0.98191080153862165</c:v>
                </c:pt>
                <c:pt idx="9">
                  <c:v>0.98076723152094814</c:v>
                </c:pt>
                <c:pt idx="10">
                  <c:v>0.98513358977024656</c:v>
                </c:pt>
                <c:pt idx="11">
                  <c:v>0.98710884707350033</c:v>
                </c:pt>
                <c:pt idx="12">
                  <c:v>0.96631666493398483</c:v>
                </c:pt>
                <c:pt idx="13">
                  <c:v>0.95020272377586035</c:v>
                </c:pt>
                <c:pt idx="14">
                  <c:v>0.94791558374051366</c:v>
                </c:pt>
                <c:pt idx="15">
                  <c:v>0.95664830023911018</c:v>
                </c:pt>
                <c:pt idx="16">
                  <c:v>0.95456908202515867</c:v>
                </c:pt>
                <c:pt idx="17">
                  <c:v>0.9621582285060819</c:v>
                </c:pt>
                <c:pt idx="18">
                  <c:v>0.94375714731261051</c:v>
                </c:pt>
                <c:pt idx="19">
                  <c:v>0.9546730429358562</c:v>
                </c:pt>
                <c:pt idx="20">
                  <c:v>0.9428214991163324</c:v>
                </c:pt>
                <c:pt idx="21">
                  <c:v>0.94438091277679592</c:v>
                </c:pt>
                <c:pt idx="22">
                  <c:v>0.92774716706518345</c:v>
                </c:pt>
                <c:pt idx="23">
                  <c:v>0.90456388397962373</c:v>
                </c:pt>
                <c:pt idx="24">
                  <c:v>0.89884603389125695</c:v>
                </c:pt>
                <c:pt idx="25">
                  <c:v>0.90726686765776066</c:v>
                </c:pt>
                <c:pt idx="26">
                  <c:v>0.90050940846241811</c:v>
                </c:pt>
                <c:pt idx="27">
                  <c:v>0.91953425512007481</c:v>
                </c:pt>
                <c:pt idx="28">
                  <c:v>0.91537581869217155</c:v>
                </c:pt>
                <c:pt idx="29">
                  <c:v>0.91703919326333283</c:v>
                </c:pt>
                <c:pt idx="30">
                  <c:v>0.90414804033683316</c:v>
                </c:pt>
                <c:pt idx="31">
                  <c:v>0.8846033891256887</c:v>
                </c:pt>
                <c:pt idx="32">
                  <c:v>0.88283605364382989</c:v>
                </c:pt>
                <c:pt idx="33">
                  <c:v>0.89344006653498265</c:v>
                </c:pt>
                <c:pt idx="34">
                  <c:v>0.87649443809127747</c:v>
                </c:pt>
                <c:pt idx="35">
                  <c:v>0.89240045742800689</c:v>
                </c:pt>
                <c:pt idx="36">
                  <c:v>0.90497972762241385</c:v>
                </c:pt>
                <c:pt idx="37">
                  <c:v>0.92140555151263104</c:v>
                </c:pt>
                <c:pt idx="38">
                  <c:v>0.92878677617215899</c:v>
                </c:pt>
                <c:pt idx="39">
                  <c:v>0.91703919326333272</c:v>
                </c:pt>
                <c:pt idx="40">
                  <c:v>0.91485601413868367</c:v>
                </c:pt>
                <c:pt idx="41">
                  <c:v>0.91932633329867941</c:v>
                </c:pt>
                <c:pt idx="42">
                  <c:v>0.91392036594240544</c:v>
                </c:pt>
                <c:pt idx="43">
                  <c:v>0.91995009876286493</c:v>
                </c:pt>
                <c:pt idx="44">
                  <c:v>0.91485601413868367</c:v>
                </c:pt>
                <c:pt idx="45">
                  <c:v>0.91651938870984495</c:v>
                </c:pt>
                <c:pt idx="46">
                  <c:v>0.91111342135357076</c:v>
                </c:pt>
                <c:pt idx="47">
                  <c:v>0.88470735003638612</c:v>
                </c:pt>
                <c:pt idx="48">
                  <c:v>0.86391516789687062</c:v>
                </c:pt>
                <c:pt idx="49">
                  <c:v>0.85487056866618139</c:v>
                </c:pt>
                <c:pt idx="50">
                  <c:v>0.86349932425408016</c:v>
                </c:pt>
                <c:pt idx="51">
                  <c:v>0.83875662750805668</c:v>
                </c:pt>
                <c:pt idx="52">
                  <c:v>0.8419794157396816</c:v>
                </c:pt>
                <c:pt idx="53">
                  <c:v>0.84499428214991135</c:v>
                </c:pt>
                <c:pt idx="54">
                  <c:v>0.8538309595592054</c:v>
                </c:pt>
                <c:pt idx="55">
                  <c:v>0.85331115500571764</c:v>
                </c:pt>
                <c:pt idx="56">
                  <c:v>0.85684582596943537</c:v>
                </c:pt>
                <c:pt idx="57">
                  <c:v>0.87566275080569689</c:v>
                </c:pt>
                <c:pt idx="58">
                  <c:v>0.87992514814429756</c:v>
                </c:pt>
                <c:pt idx="59">
                  <c:v>0.87680632082337007</c:v>
                </c:pt>
                <c:pt idx="60">
                  <c:v>0.8673458779498906</c:v>
                </c:pt>
                <c:pt idx="61">
                  <c:v>0.86391516789687062</c:v>
                </c:pt>
                <c:pt idx="62">
                  <c:v>0.86599438611082213</c:v>
                </c:pt>
                <c:pt idx="63">
                  <c:v>0.87025678344942281</c:v>
                </c:pt>
                <c:pt idx="64">
                  <c:v>0.86859340887826153</c:v>
                </c:pt>
                <c:pt idx="65">
                  <c:v>0.88948955192847456</c:v>
                </c:pt>
                <c:pt idx="66">
                  <c:v>0.90591537581869197</c:v>
                </c:pt>
                <c:pt idx="67">
                  <c:v>0.91017777315729265</c:v>
                </c:pt>
                <c:pt idx="68">
                  <c:v>0.90560349308659915</c:v>
                </c:pt>
                <c:pt idx="69">
                  <c:v>0.90674706310427244</c:v>
                </c:pt>
                <c:pt idx="70">
                  <c:v>0.89447967564195829</c:v>
                </c:pt>
                <c:pt idx="71">
                  <c:v>0.88824202100010374</c:v>
                </c:pt>
                <c:pt idx="72">
                  <c:v>0.90175693939078871</c:v>
                </c:pt>
                <c:pt idx="73">
                  <c:v>0.90633121946148221</c:v>
                </c:pt>
                <c:pt idx="74">
                  <c:v>0.90726686765776043</c:v>
                </c:pt>
                <c:pt idx="75">
                  <c:v>0.91932633329867941</c:v>
                </c:pt>
                <c:pt idx="76">
                  <c:v>0.9256679488512316</c:v>
                </c:pt>
                <c:pt idx="77">
                  <c:v>0.92857885435076382</c:v>
                </c:pt>
                <c:pt idx="78">
                  <c:v>0.92681151886890489</c:v>
                </c:pt>
                <c:pt idx="79">
                  <c:v>0.92525210520844137</c:v>
                </c:pt>
                <c:pt idx="80">
                  <c:v>0.93211352531448144</c:v>
                </c:pt>
                <c:pt idx="81">
                  <c:v>0.94978688013306967</c:v>
                </c:pt>
                <c:pt idx="82">
                  <c:v>0.95467304293585586</c:v>
                </c:pt>
                <c:pt idx="83">
                  <c:v>0.95914336209585183</c:v>
                </c:pt>
                <c:pt idx="84">
                  <c:v>0.96049485393492029</c:v>
                </c:pt>
                <c:pt idx="85">
                  <c:v>0.9663166649339846</c:v>
                </c:pt>
                <c:pt idx="86">
                  <c:v>0.96319783761305733</c:v>
                </c:pt>
                <c:pt idx="87">
                  <c:v>0.95914336209585183</c:v>
                </c:pt>
                <c:pt idx="88">
                  <c:v>0.96579686038049661</c:v>
                </c:pt>
                <c:pt idx="89">
                  <c:v>0.9547770038465534</c:v>
                </c:pt>
                <c:pt idx="90">
                  <c:v>0.96288595488096462</c:v>
                </c:pt>
                <c:pt idx="91">
                  <c:v>0.97078698409398045</c:v>
                </c:pt>
                <c:pt idx="92">
                  <c:v>0.97744048237862546</c:v>
                </c:pt>
                <c:pt idx="93">
                  <c:v>0.99750493814325814</c:v>
                </c:pt>
                <c:pt idx="94">
                  <c:v>0.98835637800187115</c:v>
                </c:pt>
                <c:pt idx="95">
                  <c:v>0.99376234535814512</c:v>
                </c:pt>
                <c:pt idx="96">
                  <c:v>0.98783657344838338</c:v>
                </c:pt>
                <c:pt idx="97">
                  <c:v>0.98222268427071413</c:v>
                </c:pt>
                <c:pt idx="98">
                  <c:v>0.97245035866514173</c:v>
                </c:pt>
                <c:pt idx="99">
                  <c:v>0.97848009148560144</c:v>
                </c:pt>
                <c:pt idx="100">
                  <c:v>0.98024742696746026</c:v>
                </c:pt>
                <c:pt idx="101">
                  <c:v>0.9653810167377066</c:v>
                </c:pt>
                <c:pt idx="102">
                  <c:v>0.94594032643725967</c:v>
                </c:pt>
                <c:pt idx="103">
                  <c:v>0.9371036490279655</c:v>
                </c:pt>
                <c:pt idx="104">
                  <c:v>0.92857885435076426</c:v>
                </c:pt>
                <c:pt idx="105">
                  <c:v>0.91974217694147009</c:v>
                </c:pt>
                <c:pt idx="106">
                  <c:v>0.93336105624285282</c:v>
                </c:pt>
                <c:pt idx="107">
                  <c:v>0.92670755795820781</c:v>
                </c:pt>
                <c:pt idx="108">
                  <c:v>0.92525210520844181</c:v>
                </c:pt>
                <c:pt idx="109">
                  <c:v>0.92587587067262733</c:v>
                </c:pt>
                <c:pt idx="110">
                  <c:v>0.93959871088470759</c:v>
                </c:pt>
                <c:pt idx="111">
                  <c:v>0.94905915375818706</c:v>
                </c:pt>
                <c:pt idx="112">
                  <c:v>0.95217798107911455</c:v>
                </c:pt>
                <c:pt idx="113">
                  <c:v>0.95217798107911455</c:v>
                </c:pt>
                <c:pt idx="114">
                  <c:v>0.95217798107911455</c:v>
                </c:pt>
                <c:pt idx="115">
                  <c:v>0.95217798107911455</c:v>
                </c:pt>
                <c:pt idx="116">
                  <c:v>0.95217798107911455</c:v>
                </c:pt>
                <c:pt idx="117">
                  <c:v>0.95217798107911455</c:v>
                </c:pt>
                <c:pt idx="118">
                  <c:v>0.95217798107911455</c:v>
                </c:pt>
                <c:pt idx="119">
                  <c:v>0.91527185778147446</c:v>
                </c:pt>
                <c:pt idx="120">
                  <c:v>0.8922964965173098</c:v>
                </c:pt>
                <c:pt idx="121">
                  <c:v>0.88345981910801563</c:v>
                </c:pt>
                <c:pt idx="122">
                  <c:v>0.88647468551824538</c:v>
                </c:pt>
                <c:pt idx="123">
                  <c:v>0.88585092005406008</c:v>
                </c:pt>
                <c:pt idx="124">
                  <c:v>0.89000935648196311</c:v>
                </c:pt>
                <c:pt idx="125">
                  <c:v>0.86817756523547185</c:v>
                </c:pt>
                <c:pt idx="126">
                  <c:v>0.87711820355546333</c:v>
                </c:pt>
                <c:pt idx="127">
                  <c:v>0.87306372803825782</c:v>
                </c:pt>
                <c:pt idx="128">
                  <c:v>0.89136084832103157</c:v>
                </c:pt>
                <c:pt idx="129">
                  <c:v>0.8870984509824309</c:v>
                </c:pt>
                <c:pt idx="130">
                  <c:v>0.89385591017777355</c:v>
                </c:pt>
                <c:pt idx="131">
                  <c:v>0.87327164985965311</c:v>
                </c:pt>
                <c:pt idx="132">
                  <c:v>0.86963301798523784</c:v>
                </c:pt>
                <c:pt idx="133">
                  <c:v>0.86568250337872987</c:v>
                </c:pt>
                <c:pt idx="134">
                  <c:v>0.86381120698617342</c:v>
                </c:pt>
                <c:pt idx="135">
                  <c:v>0.86245971514710495</c:v>
                </c:pt>
                <c:pt idx="136">
                  <c:v>0.86609834702152022</c:v>
                </c:pt>
                <c:pt idx="137">
                  <c:v>0.87254392348477017</c:v>
                </c:pt>
                <c:pt idx="138">
                  <c:v>0.87555878989499991</c:v>
                </c:pt>
                <c:pt idx="139">
                  <c:v>0.87794989084104413</c:v>
                </c:pt>
                <c:pt idx="140">
                  <c:v>0.87472710260941922</c:v>
                </c:pt>
                <c:pt idx="141">
                  <c:v>0.86796964341407667</c:v>
                </c:pt>
                <c:pt idx="142">
                  <c:v>0.8793013826801126</c:v>
                </c:pt>
                <c:pt idx="143">
                  <c:v>0.8922964965173098</c:v>
                </c:pt>
                <c:pt idx="144">
                  <c:v>0.89666285476660801</c:v>
                </c:pt>
                <c:pt idx="145">
                  <c:v>0.89739058114149106</c:v>
                </c:pt>
                <c:pt idx="146">
                  <c:v>0.90518764944380947</c:v>
                </c:pt>
                <c:pt idx="147">
                  <c:v>0.91204906954984954</c:v>
                </c:pt>
                <c:pt idx="148">
                  <c:v>0.91516789687077704</c:v>
                </c:pt>
                <c:pt idx="149">
                  <c:v>0.91194510863915212</c:v>
                </c:pt>
                <c:pt idx="150">
                  <c:v>0.9023807048549749</c:v>
                </c:pt>
                <c:pt idx="151">
                  <c:v>0.89697473749870094</c:v>
                </c:pt>
                <c:pt idx="152">
                  <c:v>0.89978168208753551</c:v>
                </c:pt>
                <c:pt idx="153">
                  <c:v>0.90893024222892249</c:v>
                </c:pt>
                <c:pt idx="154">
                  <c:v>0.90050940846241878</c:v>
                </c:pt>
                <c:pt idx="155">
                  <c:v>0.92161347333402699</c:v>
                </c:pt>
                <c:pt idx="156">
                  <c:v>0.9193263332986803</c:v>
                </c:pt>
                <c:pt idx="157">
                  <c:v>0.92234119970891004</c:v>
                </c:pt>
                <c:pt idx="158">
                  <c:v>0.92358873063728097</c:v>
                </c:pt>
                <c:pt idx="159">
                  <c:v>0.91277679592473282</c:v>
                </c:pt>
                <c:pt idx="160">
                  <c:v>0.9063312194614831</c:v>
                </c:pt>
                <c:pt idx="161">
                  <c:v>0.91288075683543057</c:v>
                </c:pt>
                <c:pt idx="162">
                  <c:v>0.91995009876286582</c:v>
                </c:pt>
                <c:pt idx="163">
                  <c:v>0.92556398794053507</c:v>
                </c:pt>
                <c:pt idx="164">
                  <c:v>0.9305541116540188</c:v>
                </c:pt>
                <c:pt idx="165">
                  <c:v>0.93180164258238962</c:v>
                </c:pt>
                <c:pt idx="166">
                  <c:v>0.93107391620750657</c:v>
                </c:pt>
                <c:pt idx="167">
                  <c:v>0.92597983158332531</c:v>
                </c:pt>
                <c:pt idx="168">
                  <c:v>0.91870256783449489</c:v>
                </c:pt>
                <c:pt idx="169">
                  <c:v>0.92286100426239814</c:v>
                </c:pt>
                <c:pt idx="170">
                  <c:v>0.93533631354610736</c:v>
                </c:pt>
                <c:pt idx="171">
                  <c:v>0.93315313442145831</c:v>
                </c:pt>
                <c:pt idx="172">
                  <c:v>0.92452437883355931</c:v>
                </c:pt>
                <c:pt idx="173">
                  <c:v>0.91308867865682564</c:v>
                </c:pt>
                <c:pt idx="174">
                  <c:v>0.9086183594968299</c:v>
                </c:pt>
                <c:pt idx="175">
                  <c:v>0.90996985133589836</c:v>
                </c:pt>
                <c:pt idx="176">
                  <c:v>0.91683127144193854</c:v>
                </c:pt>
                <c:pt idx="177">
                  <c:v>0.91215303046054741</c:v>
                </c:pt>
                <c:pt idx="178">
                  <c:v>0.91984613785216829</c:v>
                </c:pt>
                <c:pt idx="179">
                  <c:v>0.91974217694147054</c:v>
                </c:pt>
                <c:pt idx="180">
                  <c:v>0.88938559101777781</c:v>
                </c:pt>
                <c:pt idx="181">
                  <c:v>0.88221228817964503</c:v>
                </c:pt>
                <c:pt idx="182">
                  <c:v>0.87898949994802011</c:v>
                </c:pt>
                <c:pt idx="183">
                  <c:v>0.87243996257407264</c:v>
                </c:pt>
                <c:pt idx="184">
                  <c:v>0.88689052916103606</c:v>
                </c:pt>
                <c:pt idx="185">
                  <c:v>0.87160827528849216</c:v>
                </c:pt>
                <c:pt idx="186">
                  <c:v>0.8720241189312824</c:v>
                </c:pt>
                <c:pt idx="187">
                  <c:v>0.87036074436012112</c:v>
                </c:pt>
                <c:pt idx="188">
                  <c:v>0.86672211248570585</c:v>
                </c:pt>
                <c:pt idx="189">
                  <c:v>0.87358353259174604</c:v>
                </c:pt>
                <c:pt idx="190">
                  <c:v>0.86329140243268587</c:v>
                </c:pt>
                <c:pt idx="191">
                  <c:v>0.88429150639359655</c:v>
                </c:pt>
                <c:pt idx="192">
                  <c:v>0.87337561077035086</c:v>
                </c:pt>
                <c:pt idx="193">
                  <c:v>0.88117267907266927</c:v>
                </c:pt>
                <c:pt idx="194">
                  <c:v>0.87670235991267331</c:v>
                </c:pt>
                <c:pt idx="195">
                  <c:v>0.88481131094708432</c:v>
                </c:pt>
                <c:pt idx="196">
                  <c:v>0.89458363655265671</c:v>
                </c:pt>
                <c:pt idx="197">
                  <c:v>0.88366774092941103</c:v>
                </c:pt>
                <c:pt idx="198">
                  <c:v>0.89292026198149543</c:v>
                </c:pt>
                <c:pt idx="199">
                  <c:v>0.89323214471358814</c:v>
                </c:pt>
                <c:pt idx="200">
                  <c:v>0.89728662023079364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C-E948-90E4-945D0B9A0E05}"/>
            </c:ext>
          </c:extLst>
        </c:ser>
        <c:ser>
          <c:idx val="1"/>
          <c:order val="1"/>
          <c:tx>
            <c:strRef>
              <c:f>Foglio2!$O$1</c:f>
              <c:strCache>
                <c:ptCount val="1"/>
                <c:pt idx="0">
                  <c:v>PURISIMA GBP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Foglio2!$O$2:$O$202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1.0029291853135656</c:v>
                </c:pt>
                <c:pt idx="2">
                  <c:v>1.0205540638521902</c:v>
                </c:pt>
                <c:pt idx="3">
                  <c:v>1.0312530958321229</c:v>
                </c:pt>
                <c:pt idx="4">
                  <c:v>1.0214725302499505</c:v>
                </c:pt>
                <c:pt idx="5">
                  <c:v>1.0049895988977222</c:v>
                </c:pt>
                <c:pt idx="6">
                  <c:v>1.0089861856715936</c:v>
                </c:pt>
                <c:pt idx="7">
                  <c:v>1.0199086214865318</c:v>
                </c:pt>
                <c:pt idx="8">
                  <c:v>1.0022341227508105</c:v>
                </c:pt>
                <c:pt idx="9">
                  <c:v>0.984112813862703</c:v>
                </c:pt>
                <c:pt idx="10">
                  <c:v>0.98925135030534572</c:v>
                </c:pt>
                <c:pt idx="11">
                  <c:v>0.98096022471413202</c:v>
                </c:pt>
                <c:pt idx="12">
                  <c:v>0.96291331012722992</c:v>
                </c:pt>
                <c:pt idx="13">
                  <c:v>0.95911527861300072</c:v>
                </c:pt>
                <c:pt idx="14">
                  <c:v>0.96484956027057478</c:v>
                </c:pt>
                <c:pt idx="15">
                  <c:v>0.95616124720644691</c:v>
                </c:pt>
                <c:pt idx="16">
                  <c:v>0.97276834199948725</c:v>
                </c:pt>
                <c:pt idx="17">
                  <c:v>0.96358359858587639</c:v>
                </c:pt>
                <c:pt idx="18">
                  <c:v>0.94831693176761944</c:v>
                </c:pt>
                <c:pt idx="19">
                  <c:v>0.93061766141016466</c:v>
                </c:pt>
                <c:pt idx="20">
                  <c:v>0.93905772206392357</c:v>
                </c:pt>
                <c:pt idx="21">
                  <c:v>0.92111012234246992</c:v>
                </c:pt>
                <c:pt idx="22">
                  <c:v>0.9308658368669035</c:v>
                </c:pt>
                <c:pt idx="23">
                  <c:v>0.95457256682129465</c:v>
                </c:pt>
                <c:pt idx="24">
                  <c:v>0.93396880581837771</c:v>
                </c:pt>
                <c:pt idx="25">
                  <c:v>0.93322412305852587</c:v>
                </c:pt>
                <c:pt idx="26">
                  <c:v>0.95809749486741647</c:v>
                </c:pt>
                <c:pt idx="27">
                  <c:v>0.92964949786167728</c:v>
                </c:pt>
                <c:pt idx="28">
                  <c:v>0.90646412378576258</c:v>
                </c:pt>
                <c:pt idx="29">
                  <c:v>0.88546324978118629</c:v>
                </c:pt>
                <c:pt idx="30">
                  <c:v>0.89534305575755213</c:v>
                </c:pt>
                <c:pt idx="31">
                  <c:v>0.88221134576716675</c:v>
                </c:pt>
                <c:pt idx="32">
                  <c:v>0.88521499737081732</c:v>
                </c:pt>
                <c:pt idx="33">
                  <c:v>0.90663790742367112</c:v>
                </c:pt>
                <c:pt idx="34">
                  <c:v>0.90296396487899888</c:v>
                </c:pt>
                <c:pt idx="35">
                  <c:v>0.91408503290720922</c:v>
                </c:pt>
                <c:pt idx="36">
                  <c:v>0.87459043416334459</c:v>
                </c:pt>
                <c:pt idx="37">
                  <c:v>0.87543443427102019</c:v>
                </c:pt>
                <c:pt idx="38">
                  <c:v>0.8698987103554634</c:v>
                </c:pt>
                <c:pt idx="39">
                  <c:v>0.88744912012162769</c:v>
                </c:pt>
                <c:pt idx="40">
                  <c:v>0.87583162174393425</c:v>
                </c:pt>
                <c:pt idx="41">
                  <c:v>0.87908352824032898</c:v>
                </c:pt>
                <c:pt idx="42">
                  <c:v>0.90115180370521109</c:v>
                </c:pt>
                <c:pt idx="43">
                  <c:v>0.92456065856976133</c:v>
                </c:pt>
                <c:pt idx="44">
                  <c:v>0.92724159147295782</c:v>
                </c:pt>
                <c:pt idx="45">
                  <c:v>0.92103565357000938</c:v>
                </c:pt>
                <c:pt idx="46">
                  <c:v>0.9295254088921201</c:v>
                </c:pt>
                <c:pt idx="47">
                  <c:v>0.93491212079150166</c:v>
                </c:pt>
                <c:pt idx="48">
                  <c:v>0.94096912363190477</c:v>
                </c:pt>
                <c:pt idx="49">
                  <c:v>0.93612845979672787</c:v>
                </c:pt>
                <c:pt idx="50">
                  <c:v>0.91413465310430597</c:v>
                </c:pt>
                <c:pt idx="51">
                  <c:v>0.87809059307010817</c:v>
                </c:pt>
                <c:pt idx="52">
                  <c:v>0.8663240826762395</c:v>
                </c:pt>
                <c:pt idx="53">
                  <c:v>0.867863142864295</c:v>
                </c:pt>
                <c:pt idx="54">
                  <c:v>0.86188068574998211</c:v>
                </c:pt>
                <c:pt idx="55">
                  <c:v>0.8394648405269074</c:v>
                </c:pt>
                <c:pt idx="56">
                  <c:v>0.84383377116308</c:v>
                </c:pt>
                <c:pt idx="57">
                  <c:v>0.85617117819651656</c:v>
                </c:pt>
                <c:pt idx="58">
                  <c:v>0.85910036351008212</c:v>
                </c:pt>
                <c:pt idx="59">
                  <c:v>0.86113592851887533</c:v>
                </c:pt>
                <c:pt idx="60">
                  <c:v>0.86672127263152898</c:v>
                </c:pt>
                <c:pt idx="61">
                  <c:v>0.89742824096344209</c:v>
                </c:pt>
                <c:pt idx="62">
                  <c:v>0.89439974078442808</c:v>
                </c:pt>
                <c:pt idx="63">
                  <c:v>0.87600540786421832</c:v>
                </c:pt>
                <c:pt idx="64">
                  <c:v>0.87280312156492046</c:v>
                </c:pt>
                <c:pt idx="65">
                  <c:v>0.86843411645749313</c:v>
                </c:pt>
                <c:pt idx="66">
                  <c:v>0.86927811656516873</c:v>
                </c:pt>
                <c:pt idx="67">
                  <c:v>0.87367196776558431</c:v>
                </c:pt>
                <c:pt idx="68">
                  <c:v>0.88628240131349834</c:v>
                </c:pt>
                <c:pt idx="69">
                  <c:v>0.88690299510379322</c:v>
                </c:pt>
                <c:pt idx="70">
                  <c:v>0.90025818588281414</c:v>
                </c:pt>
                <c:pt idx="71">
                  <c:v>0.89953827474469572</c:v>
                </c:pt>
                <c:pt idx="72">
                  <c:v>0.89154502424332294</c:v>
                </c:pt>
                <c:pt idx="73">
                  <c:v>0.87729621564190496</c:v>
                </c:pt>
                <c:pt idx="74">
                  <c:v>0.87806574449474506</c:v>
                </c:pt>
                <c:pt idx="75">
                  <c:v>0.87804089591938161</c:v>
                </c:pt>
                <c:pt idx="76">
                  <c:v>0.88871515627758102</c:v>
                </c:pt>
                <c:pt idx="77">
                  <c:v>0.88233543225434863</c:v>
                </c:pt>
                <c:pt idx="78">
                  <c:v>0.90959193883022493</c:v>
                </c:pt>
                <c:pt idx="79">
                  <c:v>0.92287258636553082</c:v>
                </c:pt>
                <c:pt idx="80">
                  <c:v>0.93466386838113291</c:v>
                </c:pt>
                <c:pt idx="81">
                  <c:v>0.91626945850729302</c:v>
                </c:pt>
                <c:pt idx="82">
                  <c:v>0.91693974944831469</c:v>
                </c:pt>
                <c:pt idx="83">
                  <c:v>0.89802406313200378</c:v>
                </c:pt>
                <c:pt idx="84">
                  <c:v>0.91929796116868234</c:v>
                </c:pt>
                <c:pt idx="85">
                  <c:v>0.92766362752123588</c:v>
                </c:pt>
                <c:pt idx="86">
                  <c:v>0.93759312816595342</c:v>
                </c:pt>
                <c:pt idx="87">
                  <c:v>0.93600437330954633</c:v>
                </c:pt>
                <c:pt idx="88">
                  <c:v>0.93528446217142791</c:v>
                </c:pt>
                <c:pt idx="89">
                  <c:v>0.95315759312042136</c:v>
                </c:pt>
                <c:pt idx="90">
                  <c:v>0.96050540373851101</c:v>
                </c:pt>
                <c:pt idx="91">
                  <c:v>0.96286368993013327</c:v>
                </c:pt>
                <c:pt idx="92">
                  <c:v>0.95628541064725892</c:v>
                </c:pt>
                <c:pt idx="93">
                  <c:v>0.9484162491154432</c:v>
                </c:pt>
                <c:pt idx="94">
                  <c:v>0.96529636794058582</c:v>
                </c:pt>
                <c:pt idx="95">
                  <c:v>0.96872205807488909</c:v>
                </c:pt>
                <c:pt idx="96">
                  <c:v>0.98500643416747546</c:v>
                </c:pt>
                <c:pt idx="97">
                  <c:v>0.99240393945391681</c:v>
                </c:pt>
                <c:pt idx="98">
                  <c:v>0.98560225633603693</c:v>
                </c:pt>
                <c:pt idx="99">
                  <c:v>0.97959487369273057</c:v>
                </c:pt>
                <c:pt idx="100">
                  <c:v>0.99719490365599173</c:v>
                </c:pt>
                <c:pt idx="101">
                  <c:v>0.98145665506361512</c:v>
                </c:pt>
                <c:pt idx="102">
                  <c:v>0.96306224518977523</c:v>
                </c:pt>
                <c:pt idx="103">
                  <c:v>0.9601579109339482</c:v>
                </c:pt>
                <c:pt idx="104">
                  <c:v>0.96134940136381108</c:v>
                </c:pt>
                <c:pt idx="105">
                  <c:v>0.97487837578074066</c:v>
                </c:pt>
                <c:pt idx="106">
                  <c:v>0.93965346727885479</c:v>
                </c:pt>
                <c:pt idx="107">
                  <c:v>0.93426667842584332</c:v>
                </c:pt>
                <c:pt idx="108">
                  <c:v>0.92868133431318967</c:v>
                </c:pt>
                <c:pt idx="109">
                  <c:v>0.92575215148199941</c:v>
                </c:pt>
                <c:pt idx="110">
                  <c:v>0.92210305503031531</c:v>
                </c:pt>
                <c:pt idx="111">
                  <c:v>0.91793268461853517</c:v>
                </c:pt>
                <c:pt idx="112">
                  <c:v>0.92004271839978857</c:v>
                </c:pt>
                <c:pt idx="113">
                  <c:v>0.92890481510182521</c:v>
                </c:pt>
                <c:pt idx="114">
                  <c:v>0.93607883959963101</c:v>
                </c:pt>
                <c:pt idx="115">
                  <c:v>0.9488630567854538</c:v>
                </c:pt>
                <c:pt idx="116">
                  <c:v>0.95633503084435534</c:v>
                </c:pt>
                <c:pt idx="117">
                  <c:v>0.92272364882061009</c:v>
                </c:pt>
                <c:pt idx="118">
                  <c:v>0.92964949786167694</c:v>
                </c:pt>
                <c:pt idx="119">
                  <c:v>0.92240093012015612</c:v>
                </c:pt>
                <c:pt idx="120">
                  <c:v>0.91589711712736677</c:v>
                </c:pt>
                <c:pt idx="121">
                  <c:v>0.91192530197522881</c:v>
                </c:pt>
                <c:pt idx="122">
                  <c:v>0.90224405374088024</c:v>
                </c:pt>
                <c:pt idx="123">
                  <c:v>0.90532225107062103</c:v>
                </c:pt>
                <c:pt idx="124">
                  <c:v>0.9148048670916975</c:v>
                </c:pt>
                <c:pt idx="125">
                  <c:v>0.90234337108870377</c:v>
                </c:pt>
                <c:pt idx="126">
                  <c:v>0.91090759518327458</c:v>
                </c:pt>
                <c:pt idx="127">
                  <c:v>0.91453184305959523</c:v>
                </c:pt>
                <c:pt idx="128">
                  <c:v>0.88020055238010664</c:v>
                </c:pt>
                <c:pt idx="129">
                  <c:v>0.85934861592045086</c:v>
                </c:pt>
                <c:pt idx="130">
                  <c:v>0.88640649028305507</c:v>
                </c:pt>
                <c:pt idx="131">
                  <c:v>0.90053120991491609</c:v>
                </c:pt>
                <c:pt idx="132">
                  <c:v>0.90770531136635191</c:v>
                </c:pt>
                <c:pt idx="133">
                  <c:v>0.90666267904540421</c:v>
                </c:pt>
                <c:pt idx="134">
                  <c:v>0.88767252395663299</c:v>
                </c:pt>
                <c:pt idx="135">
                  <c:v>0.87496277554327051</c:v>
                </c:pt>
                <c:pt idx="136">
                  <c:v>0.86714330867980627</c:v>
                </c:pt>
                <c:pt idx="137">
                  <c:v>0.86016784192401785</c:v>
                </c:pt>
                <c:pt idx="138">
                  <c:v>0.87305137397528909</c:v>
                </c:pt>
                <c:pt idx="139">
                  <c:v>0.84892268492625034</c:v>
                </c:pt>
                <c:pt idx="140">
                  <c:v>0.87528549672609957</c:v>
                </c:pt>
                <c:pt idx="141">
                  <c:v>0.88458940407694753</c:v>
                </c:pt>
                <c:pt idx="142">
                  <c:v>0.88337798762166586</c:v>
                </c:pt>
                <c:pt idx="143">
                  <c:v>0.88556249017537947</c:v>
                </c:pt>
                <c:pt idx="144">
                  <c:v>0.89598849564083483</c:v>
                </c:pt>
                <c:pt idx="145">
                  <c:v>0.90259162349907263</c:v>
                </c:pt>
                <c:pt idx="146">
                  <c:v>0.90378311641131071</c:v>
                </c:pt>
                <c:pt idx="147">
                  <c:v>0.8956906230333691</c:v>
                </c:pt>
                <c:pt idx="148">
                  <c:v>0.88980740631324984</c:v>
                </c:pt>
                <c:pt idx="149">
                  <c:v>0.90427962123204841</c:v>
                </c:pt>
                <c:pt idx="150">
                  <c:v>0.89956312332005861</c:v>
                </c:pt>
                <c:pt idx="151">
                  <c:v>0.89876874589185518</c:v>
                </c:pt>
                <c:pt idx="152">
                  <c:v>0.89363020944921245</c:v>
                </c:pt>
                <c:pt idx="153">
                  <c:v>0.89075064681511895</c:v>
                </c:pt>
                <c:pt idx="154">
                  <c:v>0.89405224797986527</c:v>
                </c:pt>
                <c:pt idx="155">
                  <c:v>0.90115180370521086</c:v>
                </c:pt>
                <c:pt idx="156">
                  <c:v>0.90631518624084173</c:v>
                </c:pt>
                <c:pt idx="157">
                  <c:v>0.89233940167152603</c:v>
                </c:pt>
                <c:pt idx="158">
                  <c:v>0.92758915874877501</c:v>
                </c:pt>
                <c:pt idx="159">
                  <c:v>0.94201175347047694</c:v>
                </c:pt>
                <c:pt idx="160">
                  <c:v>0.93061766141016433</c:v>
                </c:pt>
                <c:pt idx="161">
                  <c:v>0.94017474372132581</c:v>
                </c:pt>
                <c:pt idx="162">
                  <c:v>0.92935162525421111</c:v>
                </c:pt>
                <c:pt idx="163">
                  <c:v>0.92292228351625716</c:v>
                </c:pt>
                <c:pt idx="164">
                  <c:v>0.92659614910729948</c:v>
                </c:pt>
                <c:pt idx="165">
                  <c:v>0.91756034323860902</c:v>
                </c:pt>
                <c:pt idx="166">
                  <c:v>0.92706780535267386</c:v>
                </c:pt>
                <c:pt idx="167">
                  <c:v>0.9206384636147199</c:v>
                </c:pt>
                <c:pt idx="168">
                  <c:v>0.92292228351625716</c:v>
                </c:pt>
                <c:pt idx="169">
                  <c:v>0.92016680736934553</c:v>
                </c:pt>
                <c:pt idx="170">
                  <c:v>0.91376231172437983</c:v>
                </c:pt>
                <c:pt idx="171">
                  <c:v>0.91371261705602824</c:v>
                </c:pt>
                <c:pt idx="172">
                  <c:v>0.93205740425039607</c:v>
                </c:pt>
                <c:pt idx="173">
                  <c:v>0.92505708891924399</c:v>
                </c:pt>
                <c:pt idx="174">
                  <c:v>0.92210305503031509</c:v>
                </c:pt>
                <c:pt idx="175">
                  <c:v>0.90991458554179883</c:v>
                </c:pt>
                <c:pt idx="176">
                  <c:v>0.89931487090968965</c:v>
                </c:pt>
                <c:pt idx="177">
                  <c:v>0.89641045721785761</c:v>
                </c:pt>
                <c:pt idx="178">
                  <c:v>0.90048158971781922</c:v>
                </c:pt>
                <c:pt idx="179">
                  <c:v>0.89492109418052912</c:v>
                </c:pt>
                <c:pt idx="180">
                  <c:v>0.9064392752103988</c:v>
                </c:pt>
                <c:pt idx="181">
                  <c:v>0.91438290551467483</c:v>
                </c:pt>
                <c:pt idx="182">
                  <c:v>0.91110615292529185</c:v>
                </c:pt>
                <c:pt idx="183">
                  <c:v>0.89164433910877106</c:v>
                </c:pt>
                <c:pt idx="184">
                  <c:v>0.88476818721843098</c:v>
                </c:pt>
                <c:pt idx="185">
                  <c:v>0.87816506184256848</c:v>
                </c:pt>
                <c:pt idx="186">
                  <c:v>0.8851405285983569</c:v>
                </c:pt>
                <c:pt idx="187">
                  <c:v>0.9024923086336244</c:v>
                </c:pt>
                <c:pt idx="188">
                  <c:v>0.88427168239769327</c:v>
                </c:pt>
                <c:pt idx="189">
                  <c:v>0.88218649719180309</c:v>
                </c:pt>
                <c:pt idx="190">
                  <c:v>0.87578192707558256</c:v>
                </c:pt>
                <c:pt idx="191">
                  <c:v>0.89087481025593096</c:v>
                </c:pt>
                <c:pt idx="192">
                  <c:v>0.89690696452097074</c:v>
                </c:pt>
                <c:pt idx="193">
                  <c:v>0.89164433910877106</c:v>
                </c:pt>
                <c:pt idx="194">
                  <c:v>0.90085393109774525</c:v>
                </c:pt>
                <c:pt idx="195">
                  <c:v>0.90259162349907274</c:v>
                </c:pt>
                <c:pt idx="196">
                  <c:v>0.90494983521944017</c:v>
                </c:pt>
                <c:pt idx="197">
                  <c:v>0.91070896297000259</c:v>
                </c:pt>
                <c:pt idx="198">
                  <c:v>0.92245062478850781</c:v>
                </c:pt>
                <c:pt idx="199">
                  <c:v>0.93101477441182368</c:v>
                </c:pt>
                <c:pt idx="200">
                  <c:v>0.93751865939349266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C-E948-90E4-945D0B9A0E05}"/>
            </c:ext>
          </c:extLst>
        </c:ser>
        <c:ser>
          <c:idx val="2"/>
          <c:order val="2"/>
          <c:tx>
            <c:strRef>
              <c:f>Foglio2!$P$1</c:f>
              <c:strCache>
                <c:ptCount val="1"/>
                <c:pt idx="0">
                  <c:v>'S&amp;P 500 QVM'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Foglio2!$P$2:$P$202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1.0074539284171287</c:v>
                </c:pt>
                <c:pt idx="2">
                  <c:v>0.99562240869012819</c:v>
                </c:pt>
                <c:pt idx="3">
                  <c:v>0.99562240869012819</c:v>
                </c:pt>
                <c:pt idx="4">
                  <c:v>1.0217700436237598</c:v>
                </c:pt>
                <c:pt idx="5">
                  <c:v>1.0217700436237598</c:v>
                </c:pt>
                <c:pt idx="6">
                  <c:v>1.0234264563855398</c:v>
                </c:pt>
                <c:pt idx="7">
                  <c:v>1.0157359448999499</c:v>
                </c:pt>
                <c:pt idx="8">
                  <c:v>1.0289872943202691</c:v>
                </c:pt>
                <c:pt idx="9">
                  <c:v>1.0382158560442902</c:v>
                </c:pt>
                <c:pt idx="10">
                  <c:v>1.044841483428371</c:v>
                </c:pt>
                <c:pt idx="11">
                  <c:v>1.044841483428371</c:v>
                </c:pt>
                <c:pt idx="12">
                  <c:v>1.0157359448999499</c:v>
                </c:pt>
                <c:pt idx="13">
                  <c:v>0.97858499662020781</c:v>
                </c:pt>
                <c:pt idx="14">
                  <c:v>1.0018930904823988</c:v>
                </c:pt>
                <c:pt idx="15">
                  <c:v>1.0044960484853782</c:v>
                </c:pt>
                <c:pt idx="16">
                  <c:v>1.0044960484853782</c:v>
                </c:pt>
                <c:pt idx="17">
                  <c:v>1.0120681974476191</c:v>
                </c:pt>
                <c:pt idx="18">
                  <c:v>0.98816848027299931</c:v>
                </c:pt>
                <c:pt idx="19">
                  <c:v>1.0144344777299796</c:v>
                </c:pt>
                <c:pt idx="20">
                  <c:v>1.0089919786555595</c:v>
                </c:pt>
                <c:pt idx="21">
                  <c:v>1.0156176060396402</c:v>
                </c:pt>
                <c:pt idx="22">
                  <c:v>1.0118315197270003</c:v>
                </c:pt>
                <c:pt idx="23">
                  <c:v>0.98272600486161843</c:v>
                </c:pt>
                <c:pt idx="24">
                  <c:v>0.97195936923612702</c:v>
                </c:pt>
                <c:pt idx="25">
                  <c:v>0.99230958316656781</c:v>
                </c:pt>
                <c:pt idx="26">
                  <c:v>0.97787512909962726</c:v>
                </c:pt>
                <c:pt idx="27">
                  <c:v>1.0001183388603092</c:v>
                </c:pt>
                <c:pt idx="28">
                  <c:v>0.99727879778886852</c:v>
                </c:pt>
                <c:pt idx="29">
                  <c:v>0.99727879778886852</c:v>
                </c:pt>
                <c:pt idx="30">
                  <c:v>0.9847374342043268</c:v>
                </c:pt>
                <c:pt idx="31">
                  <c:v>0.95941788733638811</c:v>
                </c:pt>
                <c:pt idx="32">
                  <c:v>0.96012784950912655</c:v>
                </c:pt>
                <c:pt idx="33">
                  <c:v>0.96012784950912655</c:v>
                </c:pt>
                <c:pt idx="34">
                  <c:v>0.96012784950912655</c:v>
                </c:pt>
                <c:pt idx="35">
                  <c:v>0.96012784950912655</c:v>
                </c:pt>
                <c:pt idx="36">
                  <c:v>0.96012784950912655</c:v>
                </c:pt>
                <c:pt idx="37">
                  <c:v>1.0154993618314887</c:v>
                </c:pt>
                <c:pt idx="38">
                  <c:v>1.0240180796979685</c:v>
                </c:pt>
                <c:pt idx="39">
                  <c:v>1.0204685764537895</c:v>
                </c:pt>
                <c:pt idx="40">
                  <c:v>1.0088736397952502</c:v>
                </c:pt>
                <c:pt idx="41">
                  <c:v>1.0088736397952502</c:v>
                </c:pt>
                <c:pt idx="42">
                  <c:v>1.0088736397952502</c:v>
                </c:pt>
                <c:pt idx="43">
                  <c:v>1.0088736397952502</c:v>
                </c:pt>
                <c:pt idx="44">
                  <c:v>1.0088736397952502</c:v>
                </c:pt>
                <c:pt idx="45">
                  <c:v>1.0088736397952502</c:v>
                </c:pt>
                <c:pt idx="46">
                  <c:v>1.0088736397952502</c:v>
                </c:pt>
                <c:pt idx="47">
                  <c:v>1.0088736397952502</c:v>
                </c:pt>
                <c:pt idx="48">
                  <c:v>0.95468535043470648</c:v>
                </c:pt>
                <c:pt idx="49">
                  <c:v>0.95847143674734658</c:v>
                </c:pt>
                <c:pt idx="50">
                  <c:v>0.95492195716620687</c:v>
                </c:pt>
                <c:pt idx="51">
                  <c:v>0.90676767187731511</c:v>
                </c:pt>
                <c:pt idx="52">
                  <c:v>0.89138664890613561</c:v>
                </c:pt>
                <c:pt idx="53">
                  <c:v>0.89600103625182359</c:v>
                </c:pt>
                <c:pt idx="54">
                  <c:v>0.89600103625182359</c:v>
                </c:pt>
                <c:pt idx="55">
                  <c:v>0.89600103625182359</c:v>
                </c:pt>
                <c:pt idx="56">
                  <c:v>0.89600103625182359</c:v>
                </c:pt>
                <c:pt idx="57">
                  <c:v>0.92723622466806543</c:v>
                </c:pt>
                <c:pt idx="58">
                  <c:v>0.93208710043005683</c:v>
                </c:pt>
                <c:pt idx="59">
                  <c:v>0.93894940553475648</c:v>
                </c:pt>
                <c:pt idx="60">
                  <c:v>0.92995742687919669</c:v>
                </c:pt>
                <c:pt idx="61">
                  <c:v>0.92486987339658655</c:v>
                </c:pt>
                <c:pt idx="62">
                  <c:v>0.92723622466806543</c:v>
                </c:pt>
                <c:pt idx="63">
                  <c:v>0.93918601226625698</c:v>
                </c:pt>
                <c:pt idx="64">
                  <c:v>0.92475162918843479</c:v>
                </c:pt>
                <c:pt idx="65">
                  <c:v>0.94048747943622701</c:v>
                </c:pt>
                <c:pt idx="66">
                  <c:v>0.94048747943622701</c:v>
                </c:pt>
                <c:pt idx="67">
                  <c:v>0.94048747943622701</c:v>
                </c:pt>
                <c:pt idx="68">
                  <c:v>0.96639853130139752</c:v>
                </c:pt>
                <c:pt idx="69">
                  <c:v>0.96923807237283821</c:v>
                </c:pt>
                <c:pt idx="70">
                  <c:v>0.96923807237283821</c:v>
                </c:pt>
                <c:pt idx="71">
                  <c:v>0.94427356574886712</c:v>
                </c:pt>
                <c:pt idx="72">
                  <c:v>0.96213918419967726</c:v>
                </c:pt>
                <c:pt idx="73">
                  <c:v>0.96509706413142737</c:v>
                </c:pt>
                <c:pt idx="74">
                  <c:v>0.96261244498875731</c:v>
                </c:pt>
                <c:pt idx="75">
                  <c:v>0.96261244498875731</c:v>
                </c:pt>
                <c:pt idx="76">
                  <c:v>0.96048277143789729</c:v>
                </c:pt>
                <c:pt idx="77">
                  <c:v>0.97266923675670758</c:v>
                </c:pt>
                <c:pt idx="78">
                  <c:v>0.97976812492986842</c:v>
                </c:pt>
                <c:pt idx="79">
                  <c:v>0.97893991854897844</c:v>
                </c:pt>
                <c:pt idx="80">
                  <c:v>0.97893991854897844</c:v>
                </c:pt>
                <c:pt idx="81">
                  <c:v>0.97893991854897844</c:v>
                </c:pt>
                <c:pt idx="82">
                  <c:v>1.0026029580029794</c:v>
                </c:pt>
                <c:pt idx="83">
                  <c:v>0.99798866530944919</c:v>
                </c:pt>
                <c:pt idx="84">
                  <c:v>1.0060340987238097</c:v>
                </c:pt>
                <c:pt idx="85">
                  <c:v>1.0061524375841191</c:v>
                </c:pt>
                <c:pt idx="86">
                  <c:v>0.99159964465686889</c:v>
                </c:pt>
                <c:pt idx="87">
                  <c:v>0.99159964465686889</c:v>
                </c:pt>
                <c:pt idx="88">
                  <c:v>0.99159964465686889</c:v>
                </c:pt>
                <c:pt idx="89">
                  <c:v>1.0048509704141491</c:v>
                </c:pt>
                <c:pt idx="90">
                  <c:v>1.00082820638089</c:v>
                </c:pt>
                <c:pt idx="91">
                  <c:v>1.0134880271409383</c:v>
                </c:pt>
                <c:pt idx="92">
                  <c:v>1.0247279235555098</c:v>
                </c:pt>
                <c:pt idx="93">
                  <c:v>1.0438950328393293</c:v>
                </c:pt>
                <c:pt idx="94">
                  <c:v>1.0437766939790198</c:v>
                </c:pt>
                <c:pt idx="95">
                  <c:v>1.0507572432918713</c:v>
                </c:pt>
                <c:pt idx="96">
                  <c:v>1.05868443249808</c:v>
                </c:pt>
                <c:pt idx="97">
                  <c:v>1.0595126388789702</c:v>
                </c:pt>
                <c:pt idx="98">
                  <c:v>1.0554898748457111</c:v>
                </c:pt>
                <c:pt idx="99">
                  <c:v>1.0586844324980802</c:v>
                </c:pt>
                <c:pt idx="100">
                  <c:v>1.0655466429506222</c:v>
                </c:pt>
                <c:pt idx="101">
                  <c:v>1.0540700451523923</c:v>
                </c:pt>
                <c:pt idx="102">
                  <c:v>1.0440132770474815</c:v>
                </c:pt>
                <c:pt idx="103">
                  <c:v>1.0272125426981802</c:v>
                </c:pt>
                <c:pt idx="104">
                  <c:v>1.0192854481441294</c:v>
                </c:pt>
                <c:pt idx="105">
                  <c:v>1.0194037870044388</c:v>
                </c:pt>
                <c:pt idx="106">
                  <c:v>1.0304070056983914</c:v>
                </c:pt>
                <c:pt idx="107">
                  <c:v>1.0280407490790702</c:v>
                </c:pt>
                <c:pt idx="108">
                  <c:v>1.0233081175252305</c:v>
                </c:pt>
                <c:pt idx="109">
                  <c:v>1.0202319933853288</c:v>
                </c:pt>
                <c:pt idx="110">
                  <c:v>1.0300520837696208</c:v>
                </c:pt>
                <c:pt idx="111">
                  <c:v>1.0300520837696208</c:v>
                </c:pt>
                <c:pt idx="112">
                  <c:v>1.0407004751869606</c:v>
                </c:pt>
                <c:pt idx="113">
                  <c:v>1.0407004751869606</c:v>
                </c:pt>
                <c:pt idx="114">
                  <c:v>1.0407004751869606</c:v>
                </c:pt>
                <c:pt idx="115">
                  <c:v>1.0407004751869606</c:v>
                </c:pt>
                <c:pt idx="116">
                  <c:v>1.0407004751869606</c:v>
                </c:pt>
                <c:pt idx="117">
                  <c:v>1.0407004751869606</c:v>
                </c:pt>
                <c:pt idx="118">
                  <c:v>1.0407004751869606</c:v>
                </c:pt>
                <c:pt idx="119">
                  <c:v>1.0164459070726888</c:v>
                </c:pt>
                <c:pt idx="120">
                  <c:v>0.99940849500276863</c:v>
                </c:pt>
                <c:pt idx="121">
                  <c:v>0.98343594337131812</c:v>
                </c:pt>
                <c:pt idx="122">
                  <c:v>0.98343594337131812</c:v>
                </c:pt>
                <c:pt idx="123">
                  <c:v>0.99006157075539902</c:v>
                </c:pt>
                <c:pt idx="124">
                  <c:v>0.99254618989806909</c:v>
                </c:pt>
                <c:pt idx="125">
                  <c:v>0.97349741947455892</c:v>
                </c:pt>
                <c:pt idx="126">
                  <c:v>0.97645529940630904</c:v>
                </c:pt>
                <c:pt idx="127">
                  <c:v>0.98059633131075918</c:v>
                </c:pt>
                <c:pt idx="128">
                  <c:v>0.99668719813947981</c:v>
                </c:pt>
                <c:pt idx="129">
                  <c:v>1.0055608379347301</c:v>
                </c:pt>
                <c:pt idx="130">
                  <c:v>1.0147893996587509</c:v>
                </c:pt>
                <c:pt idx="131">
                  <c:v>1.0026029580029798</c:v>
                </c:pt>
                <c:pt idx="132">
                  <c:v>0.99881687169033972</c:v>
                </c:pt>
                <c:pt idx="133">
                  <c:v>0.99751540452036946</c:v>
                </c:pt>
                <c:pt idx="134">
                  <c:v>1.0011832229618185</c:v>
                </c:pt>
                <c:pt idx="135">
                  <c:v>0.99929015614245886</c:v>
                </c:pt>
                <c:pt idx="136">
                  <c:v>1.0080454334143603</c:v>
                </c:pt>
                <c:pt idx="137">
                  <c:v>1.0092286800392181</c:v>
                </c:pt>
                <c:pt idx="138">
                  <c:v>1.0117132755188487</c:v>
                </c:pt>
                <c:pt idx="139">
                  <c:v>1.0237813783143104</c:v>
                </c:pt>
                <c:pt idx="140">
                  <c:v>1.0253195468679388</c:v>
                </c:pt>
                <c:pt idx="141">
                  <c:v>1.0300520837696205</c:v>
                </c:pt>
                <c:pt idx="142">
                  <c:v>1.0467345739107701</c:v>
                </c:pt>
                <c:pt idx="143">
                  <c:v>1.0422385254253916</c:v>
                </c:pt>
                <c:pt idx="144">
                  <c:v>1.0500473757712909</c:v>
                </c:pt>
                <c:pt idx="145">
                  <c:v>1.0575012095362617</c:v>
                </c:pt>
                <c:pt idx="146">
                  <c:v>1.0693327292632622</c:v>
                </c:pt>
                <c:pt idx="147">
                  <c:v>1.0870800088537629</c:v>
                </c:pt>
                <c:pt idx="148">
                  <c:v>1.0861335582647211</c:v>
                </c:pt>
                <c:pt idx="149">
                  <c:v>1.0838855221905122</c:v>
                </c:pt>
                <c:pt idx="150">
                  <c:v>1.0853053518838311</c:v>
                </c:pt>
                <c:pt idx="151">
                  <c:v>1.063062023807952</c:v>
                </c:pt>
                <c:pt idx="152">
                  <c:v>1.0701609119811129</c:v>
                </c:pt>
                <c:pt idx="153">
                  <c:v>1.0728822088444019</c:v>
                </c:pt>
                <c:pt idx="154">
                  <c:v>1.064718436569732</c:v>
                </c:pt>
                <c:pt idx="155">
                  <c:v>1.0629436849476424</c:v>
                </c:pt>
                <c:pt idx="156">
                  <c:v>1.0460247063901895</c:v>
                </c:pt>
                <c:pt idx="157">
                  <c:v>1.0560814744951004</c:v>
                </c:pt>
                <c:pt idx="158">
                  <c:v>1.0522953881824604</c:v>
                </c:pt>
                <c:pt idx="159">
                  <c:v>1.0441316159077905</c:v>
                </c:pt>
                <c:pt idx="160">
                  <c:v>1.0398722688060702</c:v>
                </c:pt>
                <c:pt idx="161">
                  <c:v>1.0512305040809511</c:v>
                </c:pt>
                <c:pt idx="162">
                  <c:v>1.0527686726345795</c:v>
                </c:pt>
                <c:pt idx="163">
                  <c:v>1.0720540024635115</c:v>
                </c:pt>
                <c:pt idx="164">
                  <c:v>1.0667298659124402</c:v>
                </c:pt>
                <c:pt idx="165">
                  <c:v>1.0643635146409611</c:v>
                </c:pt>
                <c:pt idx="166">
                  <c:v>1.0677946553617914</c:v>
                </c:pt>
                <c:pt idx="167">
                  <c:v>1.0580928091856512</c:v>
                </c:pt>
                <c:pt idx="168">
                  <c:v>1.05489834618544</c:v>
                </c:pt>
                <c:pt idx="169">
                  <c:v>1.0595126388789702</c:v>
                </c:pt>
                <c:pt idx="170">
                  <c:v>1.0546616684648211</c:v>
                </c:pt>
                <c:pt idx="171">
                  <c:v>1.0507572432918715</c:v>
                </c:pt>
                <c:pt idx="172">
                  <c:v>1.0402271907348413</c:v>
                </c:pt>
                <c:pt idx="173">
                  <c:v>1.0254377910760908</c:v>
                </c:pt>
                <c:pt idx="174">
                  <c:v>1.0246095846952006</c:v>
                </c:pt>
                <c:pt idx="175">
                  <c:v>1.02259825000465</c:v>
                </c:pt>
                <c:pt idx="176">
                  <c:v>1.0224799111443406</c:v>
                </c:pt>
                <c:pt idx="177">
                  <c:v>1.0195220312125906</c:v>
                </c:pt>
                <c:pt idx="178">
                  <c:v>1.0208234983825606</c:v>
                </c:pt>
                <c:pt idx="179">
                  <c:v>1.02342645638554</c:v>
                </c:pt>
                <c:pt idx="180">
                  <c:v>0.98840515799361872</c:v>
                </c:pt>
                <c:pt idx="181">
                  <c:v>0.98071467017106839</c:v>
                </c:pt>
                <c:pt idx="182">
                  <c:v>0.98497401727278855</c:v>
                </c:pt>
                <c:pt idx="183">
                  <c:v>0.97976812492986887</c:v>
                </c:pt>
                <c:pt idx="184">
                  <c:v>0.99633227621070897</c:v>
                </c:pt>
                <c:pt idx="185">
                  <c:v>0.98473743420432747</c:v>
                </c:pt>
                <c:pt idx="186">
                  <c:v>0.99100811599659833</c:v>
                </c:pt>
                <c:pt idx="187">
                  <c:v>0.99479420230923843</c:v>
                </c:pt>
                <c:pt idx="188">
                  <c:v>0.98745863641545872</c:v>
                </c:pt>
                <c:pt idx="189">
                  <c:v>0.98402747203158925</c:v>
                </c:pt>
                <c:pt idx="190">
                  <c:v>0.97953151819836848</c:v>
                </c:pt>
                <c:pt idx="191">
                  <c:v>1.0023663749345186</c:v>
                </c:pt>
                <c:pt idx="192">
                  <c:v>0.98355421124250908</c:v>
                </c:pt>
                <c:pt idx="193">
                  <c:v>0.97846663409685941</c:v>
                </c:pt>
                <c:pt idx="194">
                  <c:v>0.98130626982045799</c:v>
                </c:pt>
                <c:pt idx="195">
                  <c:v>0.99834361090125967</c:v>
                </c:pt>
                <c:pt idx="196">
                  <c:v>0.98994323189508937</c:v>
                </c:pt>
                <c:pt idx="197">
                  <c:v>0.9734974194745587</c:v>
                </c:pt>
                <c:pt idx="198">
                  <c:v>0.97917659626959774</c:v>
                </c:pt>
                <c:pt idx="199">
                  <c:v>0.98260776065346733</c:v>
                </c:pt>
                <c:pt idx="200">
                  <c:v>0.98319926565069893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CC-E948-90E4-945D0B9A0E05}"/>
            </c:ext>
          </c:extLst>
        </c:ser>
        <c:ser>
          <c:idx val="3"/>
          <c:order val="3"/>
          <c:tx>
            <c:strRef>
              <c:f>Foglio2!$Q$1</c:f>
              <c:strCache>
                <c:ptCount val="1"/>
                <c:pt idx="0">
                  <c:v>'S&amp;P 500 IT'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Foglio2!$Q$2:$Q$202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0.96915678492599722</c:v>
                </c:pt>
                <c:pt idx="2">
                  <c:v>0.96696926429887697</c:v>
                </c:pt>
                <c:pt idx="3">
                  <c:v>0.96904735694232513</c:v>
                </c:pt>
                <c:pt idx="4">
                  <c:v>0.9414853407790299</c:v>
                </c:pt>
                <c:pt idx="5">
                  <c:v>0.95132893751115266</c:v>
                </c:pt>
                <c:pt idx="6">
                  <c:v>0.9484852317885395</c:v>
                </c:pt>
                <c:pt idx="7">
                  <c:v>0.94629782053471623</c:v>
                </c:pt>
                <c:pt idx="8">
                  <c:v>0.95078207102603474</c:v>
                </c:pt>
                <c:pt idx="9">
                  <c:v>0.95056332443198766</c:v>
                </c:pt>
                <c:pt idx="10">
                  <c:v>0.95461008173521167</c:v>
                </c:pt>
                <c:pt idx="11">
                  <c:v>0.92825122652582459</c:v>
                </c:pt>
                <c:pt idx="12">
                  <c:v>0.91447013641420427</c:v>
                </c:pt>
                <c:pt idx="13">
                  <c:v>0.90659520434185736</c:v>
                </c:pt>
                <c:pt idx="14">
                  <c:v>0.93186054532760287</c:v>
                </c:pt>
                <c:pt idx="15">
                  <c:v>0.94104784759093552</c:v>
                </c:pt>
                <c:pt idx="16">
                  <c:v>0.94465716639271402</c:v>
                </c:pt>
                <c:pt idx="17">
                  <c:v>0.92125133551631511</c:v>
                </c:pt>
                <c:pt idx="18">
                  <c:v>0.93448539508287198</c:v>
                </c:pt>
                <c:pt idx="19">
                  <c:v>0.92267313369097315</c:v>
                </c:pt>
                <c:pt idx="20">
                  <c:v>0.93098550426476578</c:v>
                </c:pt>
                <c:pt idx="21">
                  <c:v>0.91479831099192344</c:v>
                </c:pt>
                <c:pt idx="22">
                  <c:v>0.88176757529080041</c:v>
                </c:pt>
                <c:pt idx="23">
                  <c:v>0.88100196221163529</c:v>
                </c:pt>
                <c:pt idx="24">
                  <c:v>0.88515814749853161</c:v>
                </c:pt>
                <c:pt idx="25">
                  <c:v>0.86612713912977901</c:v>
                </c:pt>
                <c:pt idx="26">
                  <c:v>0.89150174403925098</c:v>
                </c:pt>
                <c:pt idx="27">
                  <c:v>0.88089253422796321</c:v>
                </c:pt>
                <c:pt idx="28">
                  <c:v>0.89412670316781717</c:v>
                </c:pt>
                <c:pt idx="29">
                  <c:v>0.8756425612841825</c:v>
                </c:pt>
                <c:pt idx="30">
                  <c:v>0.85256485029885432</c:v>
                </c:pt>
                <c:pt idx="31">
                  <c:v>0.84294000016077875</c:v>
                </c:pt>
                <c:pt idx="32">
                  <c:v>0.8539867031601609</c:v>
                </c:pt>
                <c:pt idx="33">
                  <c:v>0.82981520451794832</c:v>
                </c:pt>
                <c:pt idx="34">
                  <c:v>0.84468997291315606</c:v>
                </c:pt>
                <c:pt idx="35">
                  <c:v>0.86448653967442513</c:v>
                </c:pt>
                <c:pt idx="36">
                  <c:v>0.89587667592019449</c:v>
                </c:pt>
                <c:pt idx="37">
                  <c:v>0.90517340616719921</c:v>
                </c:pt>
                <c:pt idx="38">
                  <c:v>0.89423602177819206</c:v>
                </c:pt>
                <c:pt idx="39">
                  <c:v>0.89926724812792558</c:v>
                </c:pt>
                <c:pt idx="40">
                  <c:v>0.89751733006219681</c:v>
                </c:pt>
                <c:pt idx="41">
                  <c:v>0.89139231605557889</c:v>
                </c:pt>
                <c:pt idx="42">
                  <c:v>0.9001421798174658</c:v>
                </c:pt>
                <c:pt idx="43">
                  <c:v>0.89773602196959545</c:v>
                </c:pt>
                <c:pt idx="44">
                  <c:v>0.90068904630258384</c:v>
                </c:pt>
                <c:pt idx="45">
                  <c:v>0.89478294294995853</c:v>
                </c:pt>
                <c:pt idx="46">
                  <c:v>0.85322109008099589</c:v>
                </c:pt>
                <c:pt idx="47">
                  <c:v>0.83025269770604282</c:v>
                </c:pt>
                <c:pt idx="48">
                  <c:v>0.82544027263700492</c:v>
                </c:pt>
                <c:pt idx="49">
                  <c:v>0.83845569498281181</c:v>
                </c:pt>
                <c:pt idx="50">
                  <c:v>0.80433122631145293</c:v>
                </c:pt>
                <c:pt idx="51">
                  <c:v>0.81242485029119826</c:v>
                </c:pt>
                <c:pt idx="52">
                  <c:v>0.81603416909297666</c:v>
                </c:pt>
                <c:pt idx="53">
                  <c:v>0.83014332440901928</c:v>
                </c:pt>
                <c:pt idx="54">
                  <c:v>0.82970583122092501</c:v>
                </c:pt>
                <c:pt idx="55">
                  <c:v>0.83254953694353817</c:v>
                </c:pt>
                <c:pt idx="56">
                  <c:v>0.8542054497542082</c:v>
                </c:pt>
                <c:pt idx="57">
                  <c:v>0.86054910098157633</c:v>
                </c:pt>
                <c:pt idx="58">
                  <c:v>0.84873678490302895</c:v>
                </c:pt>
                <c:pt idx="59">
                  <c:v>0.84392435983399117</c:v>
                </c:pt>
                <c:pt idx="60">
                  <c:v>0.83222141705246744</c:v>
                </c:pt>
                <c:pt idx="61">
                  <c:v>0.83025269770604293</c:v>
                </c:pt>
                <c:pt idx="62">
                  <c:v>0.83145580397330243</c:v>
                </c:pt>
                <c:pt idx="63">
                  <c:v>0.84042441432923654</c:v>
                </c:pt>
                <c:pt idx="64">
                  <c:v>0.86645525902084997</c:v>
                </c:pt>
                <c:pt idx="65">
                  <c:v>0.888001853221145</c:v>
                </c:pt>
                <c:pt idx="66">
                  <c:v>0.89511106284102948</c:v>
                </c:pt>
                <c:pt idx="67">
                  <c:v>0.89106430553780547</c:v>
                </c:pt>
                <c:pt idx="68">
                  <c:v>0.89051738436603889</c:v>
                </c:pt>
                <c:pt idx="69">
                  <c:v>0.87258016365417079</c:v>
                </c:pt>
                <c:pt idx="70">
                  <c:v>0.87389264321845384</c:v>
                </c:pt>
                <c:pt idx="71">
                  <c:v>0.89664228899935983</c:v>
                </c:pt>
                <c:pt idx="72">
                  <c:v>0.90079847428625615</c:v>
                </c:pt>
                <c:pt idx="73">
                  <c:v>0.89751733006219703</c:v>
                </c:pt>
                <c:pt idx="74">
                  <c:v>0.92311057219241921</c:v>
                </c:pt>
                <c:pt idx="75">
                  <c:v>0.92639188047642362</c:v>
                </c:pt>
                <c:pt idx="76">
                  <c:v>0.92190752061180814</c:v>
                </c:pt>
                <c:pt idx="77">
                  <c:v>0.91545449608741647</c:v>
                </c:pt>
                <c:pt idx="78">
                  <c:v>0.90998577654958868</c:v>
                </c:pt>
                <c:pt idx="79">
                  <c:v>0.93350109009630822</c:v>
                </c:pt>
                <c:pt idx="80">
                  <c:v>0.95023514985426838</c:v>
                </c:pt>
                <c:pt idx="81">
                  <c:v>0.95789139001921642</c:v>
                </c:pt>
                <c:pt idx="82">
                  <c:v>0.96532871953017185</c:v>
                </c:pt>
                <c:pt idx="83">
                  <c:v>0.9608444143522048</c:v>
                </c:pt>
                <c:pt idx="84">
                  <c:v>0.98403149863455652</c:v>
                </c:pt>
                <c:pt idx="85">
                  <c:v>0.98064092642682543</c:v>
                </c:pt>
                <c:pt idx="86">
                  <c:v>0.98184408738073337</c:v>
                </c:pt>
                <c:pt idx="87">
                  <c:v>0.98228158056882764</c:v>
                </c:pt>
                <c:pt idx="88">
                  <c:v>0.96828174386316002</c:v>
                </c:pt>
                <c:pt idx="89">
                  <c:v>0.97867226176704936</c:v>
                </c:pt>
                <c:pt idx="90">
                  <c:v>0.98600032735427801</c:v>
                </c:pt>
                <c:pt idx="91">
                  <c:v>0.99945313351488207</c:v>
                </c:pt>
                <c:pt idx="92">
                  <c:v>1.0136716621279485</c:v>
                </c:pt>
                <c:pt idx="93">
                  <c:v>1.0172809809297267</c:v>
                </c:pt>
                <c:pt idx="94">
                  <c:v>1.0072186376035568</c:v>
                </c:pt>
                <c:pt idx="95">
                  <c:v>1.0225309538735075</c:v>
                </c:pt>
                <c:pt idx="96">
                  <c:v>1.0111561309830543</c:v>
                </c:pt>
                <c:pt idx="97">
                  <c:v>0.99868752043571707</c:v>
                </c:pt>
                <c:pt idx="98">
                  <c:v>0.9887346050932192</c:v>
                </c:pt>
                <c:pt idx="99">
                  <c:v>0.98939079018871234</c:v>
                </c:pt>
                <c:pt idx="100">
                  <c:v>0.99464076313249283</c:v>
                </c:pt>
                <c:pt idx="101">
                  <c:v>0.97604730263848316</c:v>
                </c:pt>
                <c:pt idx="102">
                  <c:v>0.9473914441316551</c:v>
                </c:pt>
                <c:pt idx="103">
                  <c:v>0.93371978200370687</c:v>
                </c:pt>
                <c:pt idx="104">
                  <c:v>0.92814179854215251</c:v>
                </c:pt>
                <c:pt idx="105">
                  <c:v>0.91414201652313343</c:v>
                </c:pt>
                <c:pt idx="106">
                  <c:v>0.93196986393797798</c:v>
                </c:pt>
                <c:pt idx="107">
                  <c:v>0.9202668664698056</c:v>
                </c:pt>
                <c:pt idx="108">
                  <c:v>0.92103247954897083</c:v>
                </c:pt>
                <c:pt idx="109">
                  <c:v>0.91447013641420416</c:v>
                </c:pt>
                <c:pt idx="110">
                  <c:v>0.92978245268415471</c:v>
                </c:pt>
                <c:pt idx="111">
                  <c:v>0.93536043614570907</c:v>
                </c:pt>
                <c:pt idx="112">
                  <c:v>0.94093841960726343</c:v>
                </c:pt>
                <c:pt idx="113">
                  <c:v>0.91731384213681744</c:v>
                </c:pt>
                <c:pt idx="114">
                  <c:v>0.91053269772135492</c:v>
                </c:pt>
                <c:pt idx="115">
                  <c:v>0.89161117202292306</c:v>
                </c:pt>
                <c:pt idx="116">
                  <c:v>0.87323640343631204</c:v>
                </c:pt>
                <c:pt idx="117">
                  <c:v>0.88012692114879798</c:v>
                </c:pt>
                <c:pt idx="118">
                  <c:v>0.88767367864342528</c:v>
                </c:pt>
                <c:pt idx="119">
                  <c:v>0.9017828339594679</c:v>
                </c:pt>
                <c:pt idx="120">
                  <c:v>0.87531455076640874</c:v>
                </c:pt>
                <c:pt idx="121">
                  <c:v>0.87476762959464227</c:v>
                </c:pt>
                <c:pt idx="122">
                  <c:v>0.8841736784520221</c:v>
                </c:pt>
                <c:pt idx="123">
                  <c:v>0.88362692134020127</c:v>
                </c:pt>
                <c:pt idx="124">
                  <c:v>0.87531455076640885</c:v>
                </c:pt>
                <c:pt idx="125">
                  <c:v>0.84928365138814677</c:v>
                </c:pt>
                <c:pt idx="126">
                  <c:v>0.85431482305123174</c:v>
                </c:pt>
                <c:pt idx="127">
                  <c:v>0.8474243053387458</c:v>
                </c:pt>
                <c:pt idx="128">
                  <c:v>0.87006457782262814</c:v>
                </c:pt>
                <c:pt idx="129">
                  <c:v>0.87083019090179326</c:v>
                </c:pt>
                <c:pt idx="130">
                  <c:v>0.88679869226723695</c:v>
                </c:pt>
                <c:pt idx="131">
                  <c:v>0.85497106283337332</c:v>
                </c:pt>
                <c:pt idx="132">
                  <c:v>0.84140877400244862</c:v>
                </c:pt>
                <c:pt idx="133">
                  <c:v>0.83211204375544379</c:v>
                </c:pt>
                <c:pt idx="134">
                  <c:v>0.82883084484473624</c:v>
                </c:pt>
                <c:pt idx="135">
                  <c:v>0.83342452331972683</c:v>
                </c:pt>
                <c:pt idx="136">
                  <c:v>0.8328776568346089</c:v>
                </c:pt>
                <c:pt idx="137">
                  <c:v>0.83998692114114193</c:v>
                </c:pt>
                <c:pt idx="138">
                  <c:v>0.84119002740840143</c:v>
                </c:pt>
                <c:pt idx="139">
                  <c:v>0.84972114457624115</c:v>
                </c:pt>
                <c:pt idx="140">
                  <c:v>0.86087722087264695</c:v>
                </c:pt>
                <c:pt idx="141">
                  <c:v>0.85584604920956198</c:v>
                </c:pt>
                <c:pt idx="142">
                  <c:v>0.86897084485239229</c:v>
                </c:pt>
                <c:pt idx="143">
                  <c:v>0.88231444177591833</c:v>
                </c:pt>
                <c:pt idx="144">
                  <c:v>0.87433013640654789</c:v>
                </c:pt>
                <c:pt idx="145">
                  <c:v>0.86131471406074112</c:v>
                </c:pt>
                <c:pt idx="146">
                  <c:v>0.89128299744520367</c:v>
                </c:pt>
                <c:pt idx="147">
                  <c:v>0.89445487774553623</c:v>
                </c:pt>
                <c:pt idx="148">
                  <c:v>0.88308005485508334</c:v>
                </c:pt>
                <c:pt idx="149">
                  <c:v>0.87476762959464227</c:v>
                </c:pt>
                <c:pt idx="150">
                  <c:v>0.84665869225958057</c:v>
                </c:pt>
                <c:pt idx="151">
                  <c:v>0.82686212549831151</c:v>
                </c:pt>
                <c:pt idx="152">
                  <c:v>0.83747133530959939</c:v>
                </c:pt>
                <c:pt idx="153">
                  <c:v>0.85508043613039675</c:v>
                </c:pt>
                <c:pt idx="154">
                  <c:v>0.83550261596317488</c:v>
                </c:pt>
                <c:pt idx="155">
                  <c:v>0.86929896474346302</c:v>
                </c:pt>
                <c:pt idx="156">
                  <c:v>0.87400201651547715</c:v>
                </c:pt>
                <c:pt idx="157">
                  <c:v>0.88165814730712821</c:v>
                </c:pt>
                <c:pt idx="158">
                  <c:v>0.89500163485735718</c:v>
                </c:pt>
                <c:pt idx="159">
                  <c:v>0.87268953695119422</c:v>
                </c:pt>
                <c:pt idx="160">
                  <c:v>0.87225204376309984</c:v>
                </c:pt>
                <c:pt idx="161">
                  <c:v>0.87739264340985701</c:v>
                </c:pt>
                <c:pt idx="162">
                  <c:v>0.87783008191130274</c:v>
                </c:pt>
                <c:pt idx="163">
                  <c:v>0.88034566774284517</c:v>
                </c:pt>
                <c:pt idx="164">
                  <c:v>0.89018926447496793</c:v>
                </c:pt>
                <c:pt idx="165">
                  <c:v>0.89106430553780525</c:v>
                </c:pt>
                <c:pt idx="166">
                  <c:v>0.88231444177591833</c:v>
                </c:pt>
                <c:pt idx="167">
                  <c:v>0.87104893749584045</c:v>
                </c:pt>
                <c:pt idx="168">
                  <c:v>0.85759602196193929</c:v>
                </c:pt>
                <c:pt idx="169">
                  <c:v>0.86525215275359024</c:v>
                </c:pt>
                <c:pt idx="170">
                  <c:v>0.88614245248509527</c:v>
                </c:pt>
                <c:pt idx="171">
                  <c:v>0.8773926434098569</c:v>
                </c:pt>
                <c:pt idx="172">
                  <c:v>0.87323640343631204</c:v>
                </c:pt>
                <c:pt idx="173">
                  <c:v>0.85650228899170344</c:v>
                </c:pt>
                <c:pt idx="174">
                  <c:v>0.84425247972506179</c:v>
                </c:pt>
                <c:pt idx="175">
                  <c:v>0.85453356964527882</c:v>
                </c:pt>
                <c:pt idx="176">
                  <c:v>0.86142408735776477</c:v>
                </c:pt>
                <c:pt idx="177">
                  <c:v>0.85890850152622222</c:v>
                </c:pt>
                <c:pt idx="178">
                  <c:v>0.88318937346545834</c:v>
                </c:pt>
                <c:pt idx="179">
                  <c:v>0.87772065392763055</c:v>
                </c:pt>
                <c:pt idx="180">
                  <c:v>0.8360494824482928</c:v>
                </c:pt>
                <c:pt idx="181">
                  <c:v>0.82412779307272188</c:v>
                </c:pt>
                <c:pt idx="182">
                  <c:v>0.81165923721203304</c:v>
                </c:pt>
                <c:pt idx="183">
                  <c:v>0.80837803830132537</c:v>
                </c:pt>
                <c:pt idx="184">
                  <c:v>0.8280652317655709</c:v>
                </c:pt>
                <c:pt idx="185">
                  <c:v>0.80247188026205174</c:v>
                </c:pt>
                <c:pt idx="186">
                  <c:v>0.80181564047991027</c:v>
                </c:pt>
                <c:pt idx="187">
                  <c:v>0.79744070859896687</c:v>
                </c:pt>
                <c:pt idx="188">
                  <c:v>0.78978457780731581</c:v>
                </c:pt>
                <c:pt idx="189">
                  <c:v>0.80203438707395747</c:v>
                </c:pt>
                <c:pt idx="190">
                  <c:v>0.79350326990611775</c:v>
                </c:pt>
                <c:pt idx="191">
                  <c:v>0.81876850151856617</c:v>
                </c:pt>
                <c:pt idx="192">
                  <c:v>0.79930005464836784</c:v>
                </c:pt>
                <c:pt idx="193">
                  <c:v>0.80465934620252355</c:v>
                </c:pt>
                <c:pt idx="194">
                  <c:v>0.79765945519301407</c:v>
                </c:pt>
                <c:pt idx="195">
                  <c:v>0.79930005464836784</c:v>
                </c:pt>
                <c:pt idx="196">
                  <c:v>0.82095596745903798</c:v>
                </c:pt>
                <c:pt idx="197">
                  <c:v>0.80575307917275951</c:v>
                </c:pt>
                <c:pt idx="198">
                  <c:v>0.81701852876618886</c:v>
                </c:pt>
                <c:pt idx="199">
                  <c:v>0.82117471405308518</c:v>
                </c:pt>
                <c:pt idx="200">
                  <c:v>0.82204970042927383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CC-E948-90E4-945D0B9A0E05}"/>
            </c:ext>
          </c:extLst>
        </c:ser>
        <c:ser>
          <c:idx val="4"/>
          <c:order val="4"/>
          <c:tx>
            <c:strRef>
              <c:f>Foglio2!$R$1</c:f>
              <c:strCache>
                <c:ptCount val="1"/>
                <c:pt idx="0">
                  <c:v>'USA SRI'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Foglio2!$R$2:$R$202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1.0081273843091725</c:v>
                </c:pt>
                <c:pt idx="2">
                  <c:v>0.98905291093050263</c:v>
                </c:pt>
                <c:pt idx="3">
                  <c:v>0.98822358600099525</c:v>
                </c:pt>
                <c:pt idx="4">
                  <c:v>1.0029855697462267</c:v>
                </c:pt>
                <c:pt idx="5">
                  <c:v>0.98739426107148798</c:v>
                </c:pt>
                <c:pt idx="6">
                  <c:v>0.9930336705921381</c:v>
                </c:pt>
                <c:pt idx="7">
                  <c:v>0.98590147619837465</c:v>
                </c:pt>
                <c:pt idx="8">
                  <c:v>0.99237021064853215</c:v>
                </c:pt>
                <c:pt idx="9">
                  <c:v>0.99552164538066024</c:v>
                </c:pt>
                <c:pt idx="10">
                  <c:v>1.0006634599436062</c:v>
                </c:pt>
                <c:pt idx="11">
                  <c:v>1.0043124896334386</c:v>
                </c:pt>
                <c:pt idx="12">
                  <c:v>0.98026206667772453</c:v>
                </c:pt>
                <c:pt idx="13">
                  <c:v>0.96234864820036503</c:v>
                </c:pt>
                <c:pt idx="14">
                  <c:v>0.96682700281970491</c:v>
                </c:pt>
                <c:pt idx="15">
                  <c:v>0.97677890197379358</c:v>
                </c:pt>
                <c:pt idx="16">
                  <c:v>0.97213468236855216</c:v>
                </c:pt>
                <c:pt idx="17">
                  <c:v>0.97628130701608917</c:v>
                </c:pt>
                <c:pt idx="18">
                  <c:v>0.95405539890529134</c:v>
                </c:pt>
                <c:pt idx="19">
                  <c:v>0.96997843755183311</c:v>
                </c:pt>
                <c:pt idx="20">
                  <c:v>0.95720683363741943</c:v>
                </c:pt>
                <c:pt idx="21">
                  <c:v>0.96433902803118288</c:v>
                </c:pt>
                <c:pt idx="22">
                  <c:v>0.94625974456792195</c:v>
                </c:pt>
                <c:pt idx="23">
                  <c:v>0.92801459611875947</c:v>
                </c:pt>
                <c:pt idx="24">
                  <c:v>0.91607231713385318</c:v>
                </c:pt>
                <c:pt idx="25">
                  <c:v>0.92486316138663138</c:v>
                </c:pt>
                <c:pt idx="26">
                  <c:v>0.91408193730303555</c:v>
                </c:pt>
                <c:pt idx="27">
                  <c:v>0.93763476530104506</c:v>
                </c:pt>
                <c:pt idx="28">
                  <c:v>0.93149776082269042</c:v>
                </c:pt>
                <c:pt idx="29">
                  <c:v>0.93232708575219791</c:v>
                </c:pt>
                <c:pt idx="30">
                  <c:v>0.91723337203516353</c:v>
                </c:pt>
                <c:pt idx="31">
                  <c:v>0.89268535412174499</c:v>
                </c:pt>
                <c:pt idx="32">
                  <c:v>0.88538729474208011</c:v>
                </c:pt>
                <c:pt idx="33">
                  <c:v>0.89650024879747903</c:v>
                </c:pt>
                <c:pt idx="34">
                  <c:v>0.87676231547520322</c:v>
                </c:pt>
                <c:pt idx="35">
                  <c:v>0.89931995355780403</c:v>
                </c:pt>
                <c:pt idx="36">
                  <c:v>0.9152429922043458</c:v>
                </c:pt>
                <c:pt idx="37">
                  <c:v>0.9331564106817053</c:v>
                </c:pt>
                <c:pt idx="38">
                  <c:v>0.94012274008956731</c:v>
                </c:pt>
                <c:pt idx="39">
                  <c:v>0.92768286614695661</c:v>
                </c:pt>
                <c:pt idx="40">
                  <c:v>0.92469729640073006</c:v>
                </c:pt>
                <c:pt idx="41">
                  <c:v>0.92701940620335077</c:v>
                </c:pt>
                <c:pt idx="42">
                  <c:v>0.9253607563443359</c:v>
                </c:pt>
                <c:pt idx="43">
                  <c:v>0.93100016586498624</c:v>
                </c:pt>
                <c:pt idx="44">
                  <c:v>0.9266876762315478</c:v>
                </c:pt>
                <c:pt idx="45">
                  <c:v>0.93133189583678921</c:v>
                </c:pt>
                <c:pt idx="46">
                  <c:v>0.92619008127384339</c:v>
                </c:pt>
                <c:pt idx="47">
                  <c:v>0.90064687344501604</c:v>
                </c:pt>
                <c:pt idx="48">
                  <c:v>0.87908442527782416</c:v>
                </c:pt>
                <c:pt idx="49">
                  <c:v>0.86929839110963703</c:v>
                </c:pt>
                <c:pt idx="50">
                  <c:v>0.87526953060209023</c:v>
                </c:pt>
                <c:pt idx="51">
                  <c:v>0.84674075302703633</c:v>
                </c:pt>
                <c:pt idx="52">
                  <c:v>0.8517167026040805</c:v>
                </c:pt>
                <c:pt idx="53">
                  <c:v>0.85320948747719383</c:v>
                </c:pt>
                <c:pt idx="54">
                  <c:v>0.86183446674407049</c:v>
                </c:pt>
                <c:pt idx="55">
                  <c:v>0.86465417150439561</c:v>
                </c:pt>
                <c:pt idx="56">
                  <c:v>0.86929839110963691</c:v>
                </c:pt>
                <c:pt idx="57">
                  <c:v>0.88920218941781404</c:v>
                </c:pt>
                <c:pt idx="58">
                  <c:v>0.89052910930502582</c:v>
                </c:pt>
                <c:pt idx="59">
                  <c:v>0.89102670426273023</c:v>
                </c:pt>
                <c:pt idx="60">
                  <c:v>0.88057721015093726</c:v>
                </c:pt>
                <c:pt idx="61">
                  <c:v>0.87609885553159739</c:v>
                </c:pt>
                <c:pt idx="62">
                  <c:v>0.88339691491126227</c:v>
                </c:pt>
                <c:pt idx="63">
                  <c:v>0.88588488969978452</c:v>
                </c:pt>
                <c:pt idx="64">
                  <c:v>0.88704594460109476</c:v>
                </c:pt>
                <c:pt idx="65">
                  <c:v>0.91026704262730151</c:v>
                </c:pt>
                <c:pt idx="66">
                  <c:v>0.92619008127384306</c:v>
                </c:pt>
                <c:pt idx="67">
                  <c:v>0.93133189583678888</c:v>
                </c:pt>
                <c:pt idx="68">
                  <c:v>0.9263559462597446</c:v>
                </c:pt>
                <c:pt idx="69">
                  <c:v>0.92834632609056245</c:v>
                </c:pt>
                <c:pt idx="70">
                  <c:v>0.91175982750041473</c:v>
                </c:pt>
                <c:pt idx="71">
                  <c:v>0.90661801293746902</c:v>
                </c:pt>
                <c:pt idx="72">
                  <c:v>0.92204345662630627</c:v>
                </c:pt>
                <c:pt idx="73">
                  <c:v>0.92453143141482841</c:v>
                </c:pt>
                <c:pt idx="74">
                  <c:v>0.92187759164040484</c:v>
                </c:pt>
                <c:pt idx="75">
                  <c:v>0.93813236025874946</c:v>
                </c:pt>
                <c:pt idx="76">
                  <c:v>0.94211311992038493</c:v>
                </c:pt>
                <c:pt idx="77">
                  <c:v>0.94592801459611897</c:v>
                </c:pt>
                <c:pt idx="78">
                  <c:v>0.94460109470890719</c:v>
                </c:pt>
                <c:pt idx="79">
                  <c:v>0.94178138994858207</c:v>
                </c:pt>
                <c:pt idx="80">
                  <c:v>0.94924531431414849</c:v>
                </c:pt>
                <c:pt idx="81">
                  <c:v>0.96848565267871978</c:v>
                </c:pt>
                <c:pt idx="82">
                  <c:v>0.97379333222756703</c:v>
                </c:pt>
                <c:pt idx="83">
                  <c:v>0.97793995687510382</c:v>
                </c:pt>
                <c:pt idx="84">
                  <c:v>0.98075966163542894</c:v>
                </c:pt>
                <c:pt idx="85">
                  <c:v>0.99037983081771452</c:v>
                </c:pt>
                <c:pt idx="86">
                  <c:v>0.9865649361419806</c:v>
                </c:pt>
                <c:pt idx="87">
                  <c:v>0.98556974622657167</c:v>
                </c:pt>
                <c:pt idx="88">
                  <c:v>0.99286780560623655</c:v>
                </c:pt>
                <c:pt idx="89">
                  <c:v>0.98042793166362585</c:v>
                </c:pt>
                <c:pt idx="90">
                  <c:v>0.98722839608558643</c:v>
                </c:pt>
                <c:pt idx="91">
                  <c:v>0.99684856526787202</c:v>
                </c:pt>
                <c:pt idx="92">
                  <c:v>1.0069663294078621</c:v>
                </c:pt>
                <c:pt idx="93">
                  <c:v>1.0331729971802954</c:v>
                </c:pt>
                <c:pt idx="94">
                  <c:v>1.0235528279980097</c:v>
                </c:pt>
                <c:pt idx="95">
                  <c:v>1.0308508873776747</c:v>
                </c:pt>
                <c:pt idx="96">
                  <c:v>1.0245480179134185</c:v>
                </c:pt>
                <c:pt idx="97">
                  <c:v>1.0199037983081773</c:v>
                </c:pt>
                <c:pt idx="98">
                  <c:v>1.008293249295074</c:v>
                </c:pt>
                <c:pt idx="99">
                  <c:v>1.0137667938298227</c:v>
                </c:pt>
                <c:pt idx="100">
                  <c:v>1.0149278487311331</c:v>
                </c:pt>
                <c:pt idx="101">
                  <c:v>1.0018245148449165</c:v>
                </c:pt>
                <c:pt idx="102">
                  <c:v>0.97926687676231572</c:v>
                </c:pt>
                <c:pt idx="103">
                  <c:v>0.96964670758003013</c:v>
                </c:pt>
                <c:pt idx="104">
                  <c:v>0.96035826836954741</c:v>
                </c:pt>
                <c:pt idx="105">
                  <c:v>0.95787029358102527</c:v>
                </c:pt>
                <c:pt idx="106">
                  <c:v>0.96964670758003002</c:v>
                </c:pt>
                <c:pt idx="107">
                  <c:v>0.96118759329905468</c:v>
                </c:pt>
                <c:pt idx="108">
                  <c:v>0.96268037817216801</c:v>
                </c:pt>
                <c:pt idx="109">
                  <c:v>0.96516835296069015</c:v>
                </c:pt>
                <c:pt idx="110">
                  <c:v>0.98158898656493632</c:v>
                </c:pt>
                <c:pt idx="111">
                  <c:v>0.98673080112788203</c:v>
                </c:pt>
                <c:pt idx="112">
                  <c:v>0.98673080112788203</c:v>
                </c:pt>
                <c:pt idx="113">
                  <c:v>0.98673080112788203</c:v>
                </c:pt>
                <c:pt idx="114">
                  <c:v>0.98673080112788203</c:v>
                </c:pt>
                <c:pt idx="115">
                  <c:v>0.98673080112788203</c:v>
                </c:pt>
                <c:pt idx="116">
                  <c:v>0.98673080112788203</c:v>
                </c:pt>
                <c:pt idx="117">
                  <c:v>0.98673080112788203</c:v>
                </c:pt>
                <c:pt idx="118">
                  <c:v>0.98673080112788203</c:v>
                </c:pt>
                <c:pt idx="119">
                  <c:v>0.95007463924365576</c:v>
                </c:pt>
                <c:pt idx="120">
                  <c:v>0.92287278155581376</c:v>
                </c:pt>
                <c:pt idx="121">
                  <c:v>0.91723337203516364</c:v>
                </c:pt>
                <c:pt idx="122">
                  <c:v>0.91922375186598126</c:v>
                </c:pt>
                <c:pt idx="123">
                  <c:v>0.92104826671089757</c:v>
                </c:pt>
                <c:pt idx="124">
                  <c:v>0.92635594625974482</c:v>
                </c:pt>
                <c:pt idx="125">
                  <c:v>0.90346657820534115</c:v>
                </c:pt>
                <c:pt idx="126">
                  <c:v>0.91126223254271044</c:v>
                </c:pt>
                <c:pt idx="127">
                  <c:v>0.90612041797976473</c:v>
                </c:pt>
                <c:pt idx="128">
                  <c:v>0.92104826671089757</c:v>
                </c:pt>
                <c:pt idx="129">
                  <c:v>0.91922375186598126</c:v>
                </c:pt>
                <c:pt idx="130">
                  <c:v>0.92967324597777434</c:v>
                </c:pt>
                <c:pt idx="131">
                  <c:v>0.90694974290927199</c:v>
                </c:pt>
                <c:pt idx="132">
                  <c:v>0.90313484823353807</c:v>
                </c:pt>
                <c:pt idx="133">
                  <c:v>0.90180792834632628</c:v>
                </c:pt>
                <c:pt idx="134">
                  <c:v>0.90014927848731141</c:v>
                </c:pt>
                <c:pt idx="135">
                  <c:v>0.89915408857190271</c:v>
                </c:pt>
                <c:pt idx="136">
                  <c:v>0.90247138828993212</c:v>
                </c:pt>
                <c:pt idx="137">
                  <c:v>0.90794493282468092</c:v>
                </c:pt>
                <c:pt idx="138">
                  <c:v>0.91175982750041484</c:v>
                </c:pt>
                <c:pt idx="139">
                  <c:v>0.91507712721844447</c:v>
                </c:pt>
                <c:pt idx="140">
                  <c:v>0.91043290761320306</c:v>
                </c:pt>
                <c:pt idx="141">
                  <c:v>0.90429590313484842</c:v>
                </c:pt>
                <c:pt idx="142">
                  <c:v>0.91889202189417829</c:v>
                </c:pt>
                <c:pt idx="143">
                  <c:v>0.93066843589318304</c:v>
                </c:pt>
                <c:pt idx="144">
                  <c:v>0.93730303532924208</c:v>
                </c:pt>
                <c:pt idx="145">
                  <c:v>0.9401227400895672</c:v>
                </c:pt>
                <c:pt idx="146">
                  <c:v>0.95156742411676909</c:v>
                </c:pt>
                <c:pt idx="147">
                  <c:v>0.95969480842594135</c:v>
                </c:pt>
                <c:pt idx="148">
                  <c:v>0.96301210814397098</c:v>
                </c:pt>
                <c:pt idx="149">
                  <c:v>0.95704096865151778</c:v>
                </c:pt>
                <c:pt idx="150">
                  <c:v>0.94659147453972481</c:v>
                </c:pt>
                <c:pt idx="151">
                  <c:v>0.93348814065350827</c:v>
                </c:pt>
                <c:pt idx="152">
                  <c:v>0.93813236025874958</c:v>
                </c:pt>
                <c:pt idx="153">
                  <c:v>0.94692320451152778</c:v>
                </c:pt>
                <c:pt idx="154">
                  <c:v>0.93431746558301565</c:v>
                </c:pt>
                <c:pt idx="155">
                  <c:v>0.95272847901807944</c:v>
                </c:pt>
                <c:pt idx="156">
                  <c:v>0.94841598938464111</c:v>
                </c:pt>
                <c:pt idx="157">
                  <c:v>0.95140155913086766</c:v>
                </c:pt>
                <c:pt idx="158">
                  <c:v>0.95538231879250313</c:v>
                </c:pt>
                <c:pt idx="159">
                  <c:v>0.94194725493448361</c:v>
                </c:pt>
                <c:pt idx="160">
                  <c:v>0.93381987062531124</c:v>
                </c:pt>
                <c:pt idx="161">
                  <c:v>0.94028860507546874</c:v>
                </c:pt>
                <c:pt idx="162">
                  <c:v>0.95306020898988253</c:v>
                </c:pt>
                <c:pt idx="163">
                  <c:v>0.96002653839774454</c:v>
                </c:pt>
                <c:pt idx="164">
                  <c:v>0.96135345828495633</c:v>
                </c:pt>
                <c:pt idx="165">
                  <c:v>0.96052413335544895</c:v>
                </c:pt>
                <c:pt idx="166">
                  <c:v>0.96118759329905479</c:v>
                </c:pt>
                <c:pt idx="167">
                  <c:v>0.95455299386299575</c:v>
                </c:pt>
                <c:pt idx="168">
                  <c:v>0.94692320451152778</c:v>
                </c:pt>
                <c:pt idx="169">
                  <c:v>0.95007463924365587</c:v>
                </c:pt>
                <c:pt idx="170">
                  <c:v>0.9640072980593799</c:v>
                </c:pt>
                <c:pt idx="171">
                  <c:v>0.96068999834135027</c:v>
                </c:pt>
                <c:pt idx="172">
                  <c:v>0.9497429092718529</c:v>
                </c:pt>
                <c:pt idx="173">
                  <c:v>0.93630784541383327</c:v>
                </c:pt>
                <c:pt idx="174">
                  <c:v>0.93348814065350827</c:v>
                </c:pt>
                <c:pt idx="175">
                  <c:v>0.93514679051252303</c:v>
                </c:pt>
                <c:pt idx="176">
                  <c:v>0.93945928014596136</c:v>
                </c:pt>
                <c:pt idx="177">
                  <c:v>0.93498092552662149</c:v>
                </c:pt>
                <c:pt idx="178">
                  <c:v>0.94526455465251302</c:v>
                </c:pt>
                <c:pt idx="179">
                  <c:v>0.94277657986399088</c:v>
                </c:pt>
                <c:pt idx="180">
                  <c:v>0.91026704262730163</c:v>
                </c:pt>
                <c:pt idx="181">
                  <c:v>0.90379830817714391</c:v>
                </c:pt>
                <c:pt idx="182">
                  <c:v>0.89931995355780403</c:v>
                </c:pt>
                <c:pt idx="183">
                  <c:v>0.89235362414994202</c:v>
                </c:pt>
                <c:pt idx="184">
                  <c:v>0.90578868800796164</c:v>
                </c:pt>
                <c:pt idx="185">
                  <c:v>0.89052910930502571</c:v>
                </c:pt>
                <c:pt idx="186">
                  <c:v>0.89135843423453309</c:v>
                </c:pt>
                <c:pt idx="187">
                  <c:v>0.88953391938961701</c:v>
                </c:pt>
                <c:pt idx="188">
                  <c:v>0.88472383479847405</c:v>
                </c:pt>
                <c:pt idx="189">
                  <c:v>0.89301708409354796</c:v>
                </c:pt>
                <c:pt idx="190">
                  <c:v>0.88289931995355797</c:v>
                </c:pt>
                <c:pt idx="191">
                  <c:v>0.90529109305025723</c:v>
                </c:pt>
                <c:pt idx="192">
                  <c:v>0.88837286448830666</c:v>
                </c:pt>
                <c:pt idx="193">
                  <c:v>0.89915408857190271</c:v>
                </c:pt>
                <c:pt idx="194">
                  <c:v>0.89102670426273034</c:v>
                </c:pt>
                <c:pt idx="195">
                  <c:v>0.89965168352960723</c:v>
                </c:pt>
                <c:pt idx="196">
                  <c:v>0.90827666279648389</c:v>
                </c:pt>
                <c:pt idx="197">
                  <c:v>0.89766130369878938</c:v>
                </c:pt>
                <c:pt idx="198">
                  <c:v>0.90860839276828675</c:v>
                </c:pt>
                <c:pt idx="199">
                  <c:v>0.90811079781058235</c:v>
                </c:pt>
                <c:pt idx="200">
                  <c:v>0.91093050257090746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CC-E948-90E4-945D0B9A0E05}"/>
            </c:ext>
          </c:extLst>
        </c:ser>
        <c:ser>
          <c:idx val="5"/>
          <c:order val="5"/>
          <c:tx>
            <c:strRef>
              <c:f>Foglio2!$S$1</c:f>
              <c:strCache>
                <c:ptCount val="1"/>
                <c:pt idx="0">
                  <c:v>'AZNAX'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Foglio2!$S$2:$S$202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0.99514955537590954</c:v>
                </c:pt>
                <c:pt idx="2">
                  <c:v>0.9886822958771222</c:v>
                </c:pt>
                <c:pt idx="3">
                  <c:v>0.98949070331447064</c:v>
                </c:pt>
                <c:pt idx="4">
                  <c:v>0.99676637025060644</c:v>
                </c:pt>
                <c:pt idx="5">
                  <c:v>0.98625707356507686</c:v>
                </c:pt>
                <c:pt idx="6">
                  <c:v>0.97332255456750205</c:v>
                </c:pt>
                <c:pt idx="7">
                  <c:v>0.97493936944219906</c:v>
                </c:pt>
                <c:pt idx="8">
                  <c:v>0.96928051738076004</c:v>
                </c:pt>
                <c:pt idx="9">
                  <c:v>0.95715440582053368</c:v>
                </c:pt>
                <c:pt idx="10">
                  <c:v>0.95715440582053368</c:v>
                </c:pt>
                <c:pt idx="11">
                  <c:v>0.96604688763136626</c:v>
                </c:pt>
                <c:pt idx="12">
                  <c:v>0.95957962813257891</c:v>
                </c:pt>
                <c:pt idx="13">
                  <c:v>0.9555375909458369</c:v>
                </c:pt>
                <c:pt idx="14">
                  <c:v>0.96362166531932114</c:v>
                </c:pt>
                <c:pt idx="15">
                  <c:v>0.96200485044462436</c:v>
                </c:pt>
                <c:pt idx="16">
                  <c:v>0.94421988682295899</c:v>
                </c:pt>
                <c:pt idx="17">
                  <c:v>0.92886014551333895</c:v>
                </c:pt>
                <c:pt idx="18">
                  <c:v>0.93209377526273263</c:v>
                </c:pt>
                <c:pt idx="19">
                  <c:v>0.91754244139046104</c:v>
                </c:pt>
                <c:pt idx="20">
                  <c:v>0.91754244139046104</c:v>
                </c:pt>
                <c:pt idx="21">
                  <c:v>0.92886014551333906</c:v>
                </c:pt>
                <c:pt idx="22">
                  <c:v>0.91107518189167369</c:v>
                </c:pt>
                <c:pt idx="23">
                  <c:v>0.91188358932902214</c:v>
                </c:pt>
                <c:pt idx="24">
                  <c:v>0.91350040420371914</c:v>
                </c:pt>
                <c:pt idx="25">
                  <c:v>0.92643492320129395</c:v>
                </c:pt>
                <c:pt idx="26">
                  <c:v>0.90541632983023479</c:v>
                </c:pt>
                <c:pt idx="27">
                  <c:v>0.89652384801940221</c:v>
                </c:pt>
                <c:pt idx="28">
                  <c:v>0.8706548100242526</c:v>
                </c:pt>
                <c:pt idx="29">
                  <c:v>0.87146321746160105</c:v>
                </c:pt>
                <c:pt idx="30">
                  <c:v>0.86257073565076847</c:v>
                </c:pt>
                <c:pt idx="31">
                  <c:v>0.8593371059013748</c:v>
                </c:pt>
                <c:pt idx="32">
                  <c:v>0.87550525464834317</c:v>
                </c:pt>
                <c:pt idx="33">
                  <c:v>0.8706548100242526</c:v>
                </c:pt>
                <c:pt idx="34">
                  <c:v>0.88035569927243373</c:v>
                </c:pt>
                <c:pt idx="35">
                  <c:v>0.86176232821341991</c:v>
                </c:pt>
                <c:pt idx="36">
                  <c:v>0.8561034761519809</c:v>
                </c:pt>
                <c:pt idx="37">
                  <c:v>0.85691188358932935</c:v>
                </c:pt>
                <c:pt idx="38">
                  <c:v>0.8633791430881167</c:v>
                </c:pt>
                <c:pt idx="39">
                  <c:v>0.85691188358932935</c:v>
                </c:pt>
                <c:pt idx="40">
                  <c:v>0.86661277283751048</c:v>
                </c:pt>
                <c:pt idx="41">
                  <c:v>0.88278092158447885</c:v>
                </c:pt>
                <c:pt idx="42">
                  <c:v>0.89814066289409888</c:v>
                </c:pt>
                <c:pt idx="43">
                  <c:v>0.89409862570735688</c:v>
                </c:pt>
                <c:pt idx="44">
                  <c:v>0.89086499595796309</c:v>
                </c:pt>
                <c:pt idx="45">
                  <c:v>0.90137429264349267</c:v>
                </c:pt>
                <c:pt idx="46">
                  <c:v>0.89248181083265987</c:v>
                </c:pt>
                <c:pt idx="47">
                  <c:v>0.89329021827000843</c:v>
                </c:pt>
                <c:pt idx="48">
                  <c:v>0.8965238480194021</c:v>
                </c:pt>
                <c:pt idx="49">
                  <c:v>0.89167340339531154</c:v>
                </c:pt>
                <c:pt idx="50">
                  <c:v>0.87954729183508529</c:v>
                </c:pt>
                <c:pt idx="51">
                  <c:v>0.86257073565076836</c:v>
                </c:pt>
                <c:pt idx="52">
                  <c:v>0.83346806790622519</c:v>
                </c:pt>
                <c:pt idx="53">
                  <c:v>0.83104284559417985</c:v>
                </c:pt>
                <c:pt idx="54">
                  <c:v>0.84074373484236098</c:v>
                </c:pt>
                <c:pt idx="55">
                  <c:v>0.81487469684721137</c:v>
                </c:pt>
                <c:pt idx="56">
                  <c:v>0.81810832659660504</c:v>
                </c:pt>
                <c:pt idx="57">
                  <c:v>0.82780921584478617</c:v>
                </c:pt>
                <c:pt idx="58">
                  <c:v>0.82619240097008939</c:v>
                </c:pt>
                <c:pt idx="59">
                  <c:v>0.83265966046887674</c:v>
                </c:pt>
                <c:pt idx="60">
                  <c:v>0.84721099434114833</c:v>
                </c:pt>
                <c:pt idx="61">
                  <c:v>0.84640258690379988</c:v>
                </c:pt>
                <c:pt idx="62">
                  <c:v>0.83427647534357352</c:v>
                </c:pt>
                <c:pt idx="63">
                  <c:v>0.82942603071948295</c:v>
                </c:pt>
                <c:pt idx="64">
                  <c:v>0.82457558609539239</c:v>
                </c:pt>
                <c:pt idx="65">
                  <c:v>0.82942603071948295</c:v>
                </c:pt>
                <c:pt idx="66">
                  <c:v>0.83265966046887674</c:v>
                </c:pt>
                <c:pt idx="67">
                  <c:v>0.83346806790622519</c:v>
                </c:pt>
                <c:pt idx="68">
                  <c:v>0.84478577202910299</c:v>
                </c:pt>
                <c:pt idx="69">
                  <c:v>0.84559417946645155</c:v>
                </c:pt>
                <c:pt idx="70">
                  <c:v>0.83993532740501253</c:v>
                </c:pt>
                <c:pt idx="71">
                  <c:v>0.83427647534357352</c:v>
                </c:pt>
                <c:pt idx="72">
                  <c:v>0.83265966046887674</c:v>
                </c:pt>
                <c:pt idx="73">
                  <c:v>0.8302344381568314</c:v>
                </c:pt>
                <c:pt idx="74">
                  <c:v>0.8391269199676642</c:v>
                </c:pt>
                <c:pt idx="75">
                  <c:v>0.8391269199676642</c:v>
                </c:pt>
                <c:pt idx="76">
                  <c:v>0.85206143896523889</c:v>
                </c:pt>
                <c:pt idx="77">
                  <c:v>0.85852869846402624</c:v>
                </c:pt>
                <c:pt idx="78">
                  <c:v>0.86014551333872324</c:v>
                </c:pt>
                <c:pt idx="79">
                  <c:v>0.85691188358932946</c:v>
                </c:pt>
                <c:pt idx="80">
                  <c:v>0.85691188358932946</c:v>
                </c:pt>
                <c:pt idx="81">
                  <c:v>0.84882780921584522</c:v>
                </c:pt>
                <c:pt idx="82">
                  <c:v>0.86337914308811681</c:v>
                </c:pt>
                <c:pt idx="83">
                  <c:v>0.87227162489894938</c:v>
                </c:pt>
                <c:pt idx="84">
                  <c:v>0.88035569927243373</c:v>
                </c:pt>
                <c:pt idx="85">
                  <c:v>0.87954729183508529</c:v>
                </c:pt>
                <c:pt idx="86">
                  <c:v>0.87954729183508529</c:v>
                </c:pt>
                <c:pt idx="87">
                  <c:v>0.88763136620856953</c:v>
                </c:pt>
                <c:pt idx="88">
                  <c:v>0.89005658852061476</c:v>
                </c:pt>
                <c:pt idx="89">
                  <c:v>0.88924818108326631</c:v>
                </c:pt>
                <c:pt idx="90">
                  <c:v>0.89086499595796309</c:v>
                </c:pt>
                <c:pt idx="91">
                  <c:v>0.88439773645917574</c:v>
                </c:pt>
                <c:pt idx="92">
                  <c:v>0.89814066289409888</c:v>
                </c:pt>
                <c:pt idx="93">
                  <c:v>0.89894907033144733</c:v>
                </c:pt>
                <c:pt idx="94">
                  <c:v>0.90784155214228013</c:v>
                </c:pt>
                <c:pt idx="95">
                  <c:v>0.90945836701697691</c:v>
                </c:pt>
                <c:pt idx="96">
                  <c:v>0.90864995957962846</c:v>
                </c:pt>
                <c:pt idx="97">
                  <c:v>0.90137429264349267</c:v>
                </c:pt>
                <c:pt idx="98">
                  <c:v>0.89733225545675044</c:v>
                </c:pt>
                <c:pt idx="99">
                  <c:v>0.88763136620856942</c:v>
                </c:pt>
                <c:pt idx="100">
                  <c:v>0.87388843977364616</c:v>
                </c:pt>
                <c:pt idx="101">
                  <c:v>0.87388843977364616</c:v>
                </c:pt>
                <c:pt idx="102">
                  <c:v>0.87631366208569139</c:v>
                </c:pt>
                <c:pt idx="103">
                  <c:v>0.88358932902182719</c:v>
                </c:pt>
                <c:pt idx="104">
                  <c:v>0.86822958771220715</c:v>
                </c:pt>
                <c:pt idx="105">
                  <c:v>0.86257073565076814</c:v>
                </c:pt>
                <c:pt idx="106">
                  <c:v>0.85610347615198079</c:v>
                </c:pt>
                <c:pt idx="107">
                  <c:v>0.85206143896523856</c:v>
                </c:pt>
                <c:pt idx="108">
                  <c:v>0.84882780921584489</c:v>
                </c:pt>
                <c:pt idx="109">
                  <c:v>0.8472109943411481</c:v>
                </c:pt>
                <c:pt idx="110">
                  <c:v>0.84478577202910277</c:v>
                </c:pt>
                <c:pt idx="111">
                  <c:v>0.8544866612772839</c:v>
                </c:pt>
                <c:pt idx="112">
                  <c:v>0.86095392077607125</c:v>
                </c:pt>
                <c:pt idx="113">
                  <c:v>0.87146321746160071</c:v>
                </c:pt>
                <c:pt idx="114">
                  <c:v>0.87712206952303973</c:v>
                </c:pt>
                <c:pt idx="115">
                  <c:v>0.8544866612772839</c:v>
                </c:pt>
                <c:pt idx="116">
                  <c:v>0.85529506871463234</c:v>
                </c:pt>
                <c:pt idx="117">
                  <c:v>0.85044462409054178</c:v>
                </c:pt>
                <c:pt idx="118">
                  <c:v>0.84236054971705754</c:v>
                </c:pt>
                <c:pt idx="119">
                  <c:v>0.84478577202910277</c:v>
                </c:pt>
                <c:pt idx="120">
                  <c:v>0.83831851253031542</c:v>
                </c:pt>
                <c:pt idx="121">
                  <c:v>0.83185125303152807</c:v>
                </c:pt>
                <c:pt idx="122">
                  <c:v>0.81729991915925648</c:v>
                </c:pt>
                <c:pt idx="123">
                  <c:v>0.80517380759903023</c:v>
                </c:pt>
                <c:pt idx="124">
                  <c:v>0.79789814066289433</c:v>
                </c:pt>
                <c:pt idx="125">
                  <c:v>0.79789814066289433</c:v>
                </c:pt>
                <c:pt idx="126">
                  <c:v>0.80598221503637868</c:v>
                </c:pt>
                <c:pt idx="127">
                  <c:v>0.79628132578819755</c:v>
                </c:pt>
                <c:pt idx="128">
                  <c:v>0.79143088116410698</c:v>
                </c:pt>
                <c:pt idx="129">
                  <c:v>0.80194017784963656</c:v>
                </c:pt>
                <c:pt idx="130">
                  <c:v>0.82134195634599871</c:v>
                </c:pt>
                <c:pt idx="131">
                  <c:v>0.82053354890865027</c:v>
                </c:pt>
                <c:pt idx="132">
                  <c:v>0.81810832659660493</c:v>
                </c:pt>
                <c:pt idx="133">
                  <c:v>0.80517380759903023</c:v>
                </c:pt>
                <c:pt idx="134">
                  <c:v>0.79951495553759122</c:v>
                </c:pt>
                <c:pt idx="135">
                  <c:v>0.79304769603880387</c:v>
                </c:pt>
                <c:pt idx="136">
                  <c:v>0.79062247372675853</c:v>
                </c:pt>
                <c:pt idx="137">
                  <c:v>0.79708973322554588</c:v>
                </c:pt>
                <c:pt idx="138">
                  <c:v>0.78900565885206164</c:v>
                </c:pt>
                <c:pt idx="139">
                  <c:v>0.80194017784963645</c:v>
                </c:pt>
                <c:pt idx="140">
                  <c:v>0.8084074373484238</c:v>
                </c:pt>
                <c:pt idx="141">
                  <c:v>0.80274858528698478</c:v>
                </c:pt>
                <c:pt idx="142">
                  <c:v>0.79304769603880376</c:v>
                </c:pt>
                <c:pt idx="143">
                  <c:v>0.801131770412288</c:v>
                </c:pt>
                <c:pt idx="144">
                  <c:v>0.80517380759903023</c:v>
                </c:pt>
                <c:pt idx="145">
                  <c:v>0.8156831042845597</c:v>
                </c:pt>
                <c:pt idx="146">
                  <c:v>0.81406628940986292</c:v>
                </c:pt>
                <c:pt idx="147">
                  <c:v>0.81406628940986292</c:v>
                </c:pt>
                <c:pt idx="148">
                  <c:v>0.82376717865804394</c:v>
                </c:pt>
                <c:pt idx="149">
                  <c:v>0.81972514147130193</c:v>
                </c:pt>
                <c:pt idx="150">
                  <c:v>0.81891673403395349</c:v>
                </c:pt>
                <c:pt idx="151">
                  <c:v>0.80679062247372713</c:v>
                </c:pt>
                <c:pt idx="152">
                  <c:v>0.79870654810024289</c:v>
                </c:pt>
                <c:pt idx="153">
                  <c:v>0.80194017784963656</c:v>
                </c:pt>
                <c:pt idx="154">
                  <c:v>0.80436540016168179</c:v>
                </c:pt>
                <c:pt idx="155">
                  <c:v>0.80759902991107557</c:v>
                </c:pt>
                <c:pt idx="156">
                  <c:v>0.79708973322554599</c:v>
                </c:pt>
                <c:pt idx="157">
                  <c:v>0.82700080840743773</c:v>
                </c:pt>
                <c:pt idx="158">
                  <c:v>0.83265966046887674</c:v>
                </c:pt>
                <c:pt idx="159">
                  <c:v>0.82942603071948295</c:v>
                </c:pt>
                <c:pt idx="160">
                  <c:v>0.8358932902182703</c:v>
                </c:pt>
                <c:pt idx="161">
                  <c:v>0.83104284559417974</c:v>
                </c:pt>
                <c:pt idx="162">
                  <c:v>0.82053354890865027</c:v>
                </c:pt>
                <c:pt idx="163">
                  <c:v>0.82215036378334705</c:v>
                </c:pt>
                <c:pt idx="164">
                  <c:v>0.81891673403395338</c:v>
                </c:pt>
                <c:pt idx="165">
                  <c:v>0.82538399353274072</c:v>
                </c:pt>
                <c:pt idx="166">
                  <c:v>0.83023443815683118</c:v>
                </c:pt>
                <c:pt idx="167">
                  <c:v>0.83023443815683118</c:v>
                </c:pt>
                <c:pt idx="168">
                  <c:v>0.82376717865804383</c:v>
                </c:pt>
                <c:pt idx="169">
                  <c:v>0.82295877122069538</c:v>
                </c:pt>
                <c:pt idx="170">
                  <c:v>0.83751010509296697</c:v>
                </c:pt>
                <c:pt idx="171">
                  <c:v>0.8415521422797092</c:v>
                </c:pt>
                <c:pt idx="172">
                  <c:v>0.84074373484236076</c:v>
                </c:pt>
                <c:pt idx="173">
                  <c:v>0.83265966046887652</c:v>
                </c:pt>
                <c:pt idx="174">
                  <c:v>0.82538399353274072</c:v>
                </c:pt>
                <c:pt idx="175">
                  <c:v>0.82376717865804372</c:v>
                </c:pt>
                <c:pt idx="176">
                  <c:v>0.82861762328213429</c:v>
                </c:pt>
                <c:pt idx="177">
                  <c:v>0.82619240097008906</c:v>
                </c:pt>
                <c:pt idx="178">
                  <c:v>0.83265966046887641</c:v>
                </c:pt>
                <c:pt idx="179">
                  <c:v>0.83912691996766375</c:v>
                </c:pt>
                <c:pt idx="180">
                  <c:v>0.83670169765561841</c:v>
                </c:pt>
                <c:pt idx="181">
                  <c:v>0.82457558609539205</c:v>
                </c:pt>
                <c:pt idx="182">
                  <c:v>0.81891673403395326</c:v>
                </c:pt>
                <c:pt idx="183">
                  <c:v>0.81325788197251425</c:v>
                </c:pt>
                <c:pt idx="184">
                  <c:v>0.81244947453516581</c:v>
                </c:pt>
                <c:pt idx="185">
                  <c:v>0.8197251414713016</c:v>
                </c:pt>
                <c:pt idx="186">
                  <c:v>0.80598221503637846</c:v>
                </c:pt>
                <c:pt idx="187">
                  <c:v>0.80759902991107524</c:v>
                </c:pt>
                <c:pt idx="188">
                  <c:v>0.80355699272433312</c:v>
                </c:pt>
                <c:pt idx="189">
                  <c:v>0.79708973322554577</c:v>
                </c:pt>
                <c:pt idx="190">
                  <c:v>0.80436540016168157</c:v>
                </c:pt>
                <c:pt idx="191">
                  <c:v>0.80355699272433312</c:v>
                </c:pt>
                <c:pt idx="192">
                  <c:v>0.80355699272433312</c:v>
                </c:pt>
                <c:pt idx="193">
                  <c:v>0.80921584478577213</c:v>
                </c:pt>
                <c:pt idx="194">
                  <c:v>0.80517380759903012</c:v>
                </c:pt>
                <c:pt idx="195">
                  <c:v>0.81729991915925637</c:v>
                </c:pt>
                <c:pt idx="196">
                  <c:v>0.82134195634599849</c:v>
                </c:pt>
                <c:pt idx="197">
                  <c:v>0.82457558609539217</c:v>
                </c:pt>
                <c:pt idx="198">
                  <c:v>0.83185125303152796</c:v>
                </c:pt>
                <c:pt idx="199">
                  <c:v>0.83670169765561853</c:v>
                </c:pt>
                <c:pt idx="200">
                  <c:v>0.83912691996766386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CC-E948-90E4-945D0B9A0E05}"/>
            </c:ext>
          </c:extLst>
        </c:ser>
        <c:ser>
          <c:idx val="6"/>
          <c:order val="6"/>
          <c:tx>
            <c:strRef>
              <c:f>Foglio2!$T$1</c:f>
              <c:strCache>
                <c:ptCount val="1"/>
                <c:pt idx="0">
                  <c:v>'Allianz incoma AUSD'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Foglio2!$T$2:$T$202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1.0025220259553584</c:v>
                </c:pt>
                <c:pt idx="2">
                  <c:v>1</c:v>
                </c:pt>
                <c:pt idx="3">
                  <c:v>1</c:v>
                </c:pt>
                <c:pt idx="4">
                  <c:v>0.99789823464067939</c:v>
                </c:pt>
                <c:pt idx="5">
                  <c:v>0.99957965533502913</c:v>
                </c:pt>
                <c:pt idx="6">
                  <c:v>0.97814203538705191</c:v>
                </c:pt>
                <c:pt idx="7">
                  <c:v>0.97940302734749785</c:v>
                </c:pt>
                <c:pt idx="8">
                  <c:v>0.97435893340231472</c:v>
                </c:pt>
                <c:pt idx="9">
                  <c:v>0.96847415012719007</c:v>
                </c:pt>
                <c:pt idx="10">
                  <c:v>0.97183690744695639</c:v>
                </c:pt>
                <c:pt idx="11">
                  <c:v>0.96553165340346148</c:v>
                </c:pt>
                <c:pt idx="12">
                  <c:v>0.96931475538819867</c:v>
                </c:pt>
                <c:pt idx="13">
                  <c:v>0.96385031677804467</c:v>
                </c:pt>
                <c:pt idx="14">
                  <c:v>0.96385031677804467</c:v>
                </c:pt>
                <c:pt idx="15">
                  <c:v>0.9672130740978111</c:v>
                </c:pt>
                <c:pt idx="16">
                  <c:v>0.97225716804299422</c:v>
                </c:pt>
                <c:pt idx="17">
                  <c:v>0.95166027945942488</c:v>
                </c:pt>
                <c:pt idx="18">
                  <c:v>0.93442619023008866</c:v>
                </c:pt>
                <c:pt idx="19">
                  <c:v>0.93694830025437992</c:v>
                </c:pt>
                <c:pt idx="20">
                  <c:v>0.93526687956003018</c:v>
                </c:pt>
                <c:pt idx="21">
                  <c:v>0.93232446690523452</c:v>
                </c:pt>
                <c:pt idx="22">
                  <c:v>0.94031105757414613</c:v>
                </c:pt>
                <c:pt idx="23">
                  <c:v>0.9230768422414104</c:v>
                </c:pt>
                <c:pt idx="24">
                  <c:v>0.92433791827078926</c:v>
                </c:pt>
                <c:pt idx="25">
                  <c:v>0.9222362369804018</c:v>
                </c:pt>
                <c:pt idx="26">
                  <c:v>0.93022270154591413</c:v>
                </c:pt>
                <c:pt idx="27">
                  <c:v>0.90458171901716178</c:v>
                </c:pt>
                <c:pt idx="28">
                  <c:v>0.89071038710759187</c:v>
                </c:pt>
                <c:pt idx="29">
                  <c:v>0.89071038710759187</c:v>
                </c:pt>
                <c:pt idx="30">
                  <c:v>0.8877679744527962</c:v>
                </c:pt>
                <c:pt idx="31">
                  <c:v>0.86969315385905177</c:v>
                </c:pt>
                <c:pt idx="32">
                  <c:v>0.88398487246805901</c:v>
                </c:pt>
                <c:pt idx="33">
                  <c:v>0.88524582239403848</c:v>
                </c:pt>
                <c:pt idx="34">
                  <c:v>0.88650689842341734</c:v>
                </c:pt>
                <c:pt idx="35">
                  <c:v>0.88650689842341734</c:v>
                </c:pt>
                <c:pt idx="36">
                  <c:v>0.87263552447938098</c:v>
                </c:pt>
                <c:pt idx="37">
                  <c:v>0.88062211514829258</c:v>
                </c:pt>
                <c:pt idx="38">
                  <c:v>0.87725935782852615</c:v>
                </c:pt>
                <c:pt idx="39">
                  <c:v>0.87347625584378896</c:v>
                </c:pt>
                <c:pt idx="40">
                  <c:v>0.87852034978897209</c:v>
                </c:pt>
                <c:pt idx="41">
                  <c:v>0.910466544326753</c:v>
                </c:pt>
                <c:pt idx="42">
                  <c:v>0.910466544326753</c:v>
                </c:pt>
                <c:pt idx="43">
                  <c:v>0.91340895698154867</c:v>
                </c:pt>
                <c:pt idx="44">
                  <c:v>0.91088688899172388</c:v>
                </c:pt>
                <c:pt idx="45">
                  <c:v>0.91088688899172388</c:v>
                </c:pt>
                <c:pt idx="46">
                  <c:v>0.91509033564143183</c:v>
                </c:pt>
                <c:pt idx="47">
                  <c:v>0.91004619966178224</c:v>
                </c:pt>
                <c:pt idx="48">
                  <c:v>0.91004619966178224</c:v>
                </c:pt>
                <c:pt idx="49">
                  <c:v>0.91677167226684864</c:v>
                </c:pt>
                <c:pt idx="50">
                  <c:v>0.91004619966178224</c:v>
                </c:pt>
                <c:pt idx="51">
                  <c:v>0.889869655743184</c:v>
                </c:pt>
                <c:pt idx="52">
                  <c:v>0.86591000983984834</c:v>
                </c:pt>
                <c:pt idx="53">
                  <c:v>0.85540139321557829</c:v>
                </c:pt>
                <c:pt idx="54">
                  <c:v>0.85792346120540308</c:v>
                </c:pt>
                <c:pt idx="55">
                  <c:v>0.84699449991616227</c:v>
                </c:pt>
                <c:pt idx="56">
                  <c:v>0.84447243192633747</c:v>
                </c:pt>
                <c:pt idx="57">
                  <c:v>0.85287936726021996</c:v>
                </c:pt>
                <c:pt idx="58">
                  <c:v>0.85077760190089935</c:v>
                </c:pt>
                <c:pt idx="59">
                  <c:v>0.8642285891454986</c:v>
                </c:pt>
                <c:pt idx="60">
                  <c:v>0.8642285891454986</c:v>
                </c:pt>
                <c:pt idx="61">
                  <c:v>0.86969315385905188</c:v>
                </c:pt>
                <c:pt idx="62">
                  <c:v>0.87263552447938109</c:v>
                </c:pt>
                <c:pt idx="63">
                  <c:v>0.85708272984099487</c:v>
                </c:pt>
                <c:pt idx="64">
                  <c:v>0.84531316329074546</c:v>
                </c:pt>
                <c:pt idx="65">
                  <c:v>0.85119794656587011</c:v>
                </c:pt>
                <c:pt idx="66">
                  <c:v>0.84699449991616205</c:v>
                </c:pt>
                <c:pt idx="67">
                  <c:v>0.85666238517602411</c:v>
                </c:pt>
                <c:pt idx="68">
                  <c:v>0.86422858914549849</c:v>
                </c:pt>
                <c:pt idx="69">
                  <c:v>0.86464897584493572</c:v>
                </c:pt>
                <c:pt idx="70">
                  <c:v>0.86086587386019853</c:v>
                </c:pt>
                <c:pt idx="71">
                  <c:v>0.86086587386019853</c:v>
                </c:pt>
                <c:pt idx="72">
                  <c:v>0.85371997252122844</c:v>
                </c:pt>
                <c:pt idx="73">
                  <c:v>0.84783518924610379</c:v>
                </c:pt>
                <c:pt idx="74">
                  <c:v>0.85624212457998616</c:v>
                </c:pt>
                <c:pt idx="75">
                  <c:v>0.86885242249464378</c:v>
                </c:pt>
                <c:pt idx="76">
                  <c:v>0.86759134646526481</c:v>
                </c:pt>
                <c:pt idx="77">
                  <c:v>0.87599828179914729</c:v>
                </c:pt>
                <c:pt idx="78">
                  <c:v>0.87599828179914729</c:v>
                </c:pt>
                <c:pt idx="79">
                  <c:v>0.8894493110782129</c:v>
                </c:pt>
                <c:pt idx="80">
                  <c:v>0.88650689842341723</c:v>
                </c:pt>
                <c:pt idx="81">
                  <c:v>0.88272379643868004</c:v>
                </c:pt>
                <c:pt idx="82">
                  <c:v>0.88524582239403837</c:v>
                </c:pt>
                <c:pt idx="83">
                  <c:v>0.89197133703357123</c:v>
                </c:pt>
                <c:pt idx="84">
                  <c:v>0.89197133703357123</c:v>
                </c:pt>
                <c:pt idx="85">
                  <c:v>0.90836486303636543</c:v>
                </c:pt>
                <c:pt idx="86">
                  <c:v>0.9087852077013362</c:v>
                </c:pt>
                <c:pt idx="87">
                  <c:v>0.91340895698154856</c:v>
                </c:pt>
                <c:pt idx="88">
                  <c:v>0.91845309296119815</c:v>
                </c:pt>
                <c:pt idx="89">
                  <c:v>0.91635132760187754</c:v>
                </c:pt>
                <c:pt idx="90">
                  <c:v>0.9251786076007309</c:v>
                </c:pt>
                <c:pt idx="91">
                  <c:v>0.91551072234086883</c:v>
                </c:pt>
                <c:pt idx="92">
                  <c:v>0.92391757360581839</c:v>
                </c:pt>
                <c:pt idx="93">
                  <c:v>0.9331651982696425</c:v>
                </c:pt>
                <c:pt idx="94">
                  <c:v>0.93190412224026364</c:v>
                </c:pt>
                <c:pt idx="95">
                  <c:v>0.9369483002543797</c:v>
                </c:pt>
                <c:pt idx="96">
                  <c:v>0.9369483002543797</c:v>
                </c:pt>
                <c:pt idx="97">
                  <c:v>0.93148377757529277</c:v>
                </c:pt>
                <c:pt idx="98">
                  <c:v>0.93022270154591391</c:v>
                </c:pt>
                <c:pt idx="99">
                  <c:v>0.92517860760073078</c:v>
                </c:pt>
                <c:pt idx="100">
                  <c:v>0.91424964631148997</c:v>
                </c:pt>
                <c:pt idx="101">
                  <c:v>0.91214796502110251</c:v>
                </c:pt>
                <c:pt idx="102">
                  <c:v>0.91256822561714035</c:v>
                </c:pt>
                <c:pt idx="103">
                  <c:v>0.91677167226684841</c:v>
                </c:pt>
                <c:pt idx="104">
                  <c:v>0.92013442958661473</c:v>
                </c:pt>
                <c:pt idx="105">
                  <c:v>0.9012190037318617</c:v>
                </c:pt>
                <c:pt idx="106">
                  <c:v>0.89953758303751197</c:v>
                </c:pt>
                <c:pt idx="107">
                  <c:v>0.89533409435333755</c:v>
                </c:pt>
                <c:pt idx="108">
                  <c:v>0.88272379643868004</c:v>
                </c:pt>
                <c:pt idx="109">
                  <c:v>0.88776797445279609</c:v>
                </c:pt>
                <c:pt idx="110">
                  <c:v>0.88188310710873852</c:v>
                </c:pt>
                <c:pt idx="111">
                  <c:v>0.88272379643868015</c:v>
                </c:pt>
                <c:pt idx="112">
                  <c:v>0.89155099236860047</c:v>
                </c:pt>
                <c:pt idx="113">
                  <c:v>0.90290034035727862</c:v>
                </c:pt>
                <c:pt idx="114">
                  <c:v>0.91256822561714046</c:v>
                </c:pt>
                <c:pt idx="115">
                  <c:v>0.89995792770248295</c:v>
                </c:pt>
                <c:pt idx="116">
                  <c:v>0.89071038710759176</c:v>
                </c:pt>
                <c:pt idx="117">
                  <c:v>0.89281206839797922</c:v>
                </c:pt>
                <c:pt idx="118">
                  <c:v>0.87557793713417642</c:v>
                </c:pt>
                <c:pt idx="119">
                  <c:v>0.87683901316355539</c:v>
                </c:pt>
                <c:pt idx="120">
                  <c:v>0.87557793713417642</c:v>
                </c:pt>
                <c:pt idx="121">
                  <c:v>0.87599828179914729</c:v>
                </c:pt>
                <c:pt idx="122">
                  <c:v>0.86254725252008169</c:v>
                </c:pt>
                <c:pt idx="123">
                  <c:v>0.84825553391107444</c:v>
                </c:pt>
                <c:pt idx="124">
                  <c:v>0.84615376855175406</c:v>
                </c:pt>
                <c:pt idx="125">
                  <c:v>0.84573350795571611</c:v>
                </c:pt>
                <c:pt idx="126">
                  <c:v>0.83900790924725033</c:v>
                </c:pt>
                <c:pt idx="127">
                  <c:v>0.83774691728680439</c:v>
                </c:pt>
                <c:pt idx="128">
                  <c:v>0.83774691728680439</c:v>
                </c:pt>
                <c:pt idx="129">
                  <c:v>0.83564515192748401</c:v>
                </c:pt>
                <c:pt idx="130">
                  <c:v>0.85624212457998605</c:v>
                </c:pt>
                <c:pt idx="131">
                  <c:v>0.85792346120540286</c:v>
                </c:pt>
                <c:pt idx="132">
                  <c:v>0.86212690785511092</c:v>
                </c:pt>
                <c:pt idx="133">
                  <c:v>0.84951652587152038</c:v>
                </c:pt>
                <c:pt idx="134">
                  <c:v>0.83312312597212568</c:v>
                </c:pt>
                <c:pt idx="135">
                  <c:v>0.83312312597212568</c:v>
                </c:pt>
                <c:pt idx="136">
                  <c:v>0.83312312597212568</c:v>
                </c:pt>
                <c:pt idx="137">
                  <c:v>0.8221941226484184</c:v>
                </c:pt>
                <c:pt idx="138">
                  <c:v>0.83816730398624173</c:v>
                </c:pt>
                <c:pt idx="139">
                  <c:v>0.84026898527662919</c:v>
                </c:pt>
                <c:pt idx="140">
                  <c:v>0.84993687053649125</c:v>
                </c:pt>
                <c:pt idx="141">
                  <c:v>0.84363174259639573</c:v>
                </c:pt>
                <c:pt idx="142">
                  <c:v>0.84279101123198763</c:v>
                </c:pt>
                <c:pt idx="143">
                  <c:v>0.83816730398624173</c:v>
                </c:pt>
                <c:pt idx="144">
                  <c:v>0.84951652587152038</c:v>
                </c:pt>
                <c:pt idx="145">
                  <c:v>0.85750311654043199</c:v>
                </c:pt>
                <c:pt idx="146">
                  <c:v>0.85960488189975259</c:v>
                </c:pt>
                <c:pt idx="147">
                  <c:v>0.85876415053534449</c:v>
                </c:pt>
                <c:pt idx="148">
                  <c:v>0.86086587386019853</c:v>
                </c:pt>
                <c:pt idx="149">
                  <c:v>0.86633039653928545</c:v>
                </c:pt>
                <c:pt idx="150">
                  <c:v>0.86212690785511104</c:v>
                </c:pt>
                <c:pt idx="151">
                  <c:v>0.86212690785511104</c:v>
                </c:pt>
                <c:pt idx="152">
                  <c:v>0.84867592061051178</c:v>
                </c:pt>
                <c:pt idx="153">
                  <c:v>0.84951652587152038</c:v>
                </c:pt>
                <c:pt idx="154">
                  <c:v>0.84699449991616205</c:v>
                </c:pt>
                <c:pt idx="155">
                  <c:v>0.85161829123084098</c:v>
                </c:pt>
                <c:pt idx="156">
                  <c:v>0.84825553391107456</c:v>
                </c:pt>
                <c:pt idx="157">
                  <c:v>0.8633879838844899</c:v>
                </c:pt>
                <c:pt idx="158">
                  <c:v>0.8633879838844899</c:v>
                </c:pt>
                <c:pt idx="159">
                  <c:v>0.87515759246920577</c:v>
                </c:pt>
                <c:pt idx="160">
                  <c:v>0.88440521713302989</c:v>
                </c:pt>
                <c:pt idx="161">
                  <c:v>0.87809996308953486</c:v>
                </c:pt>
                <c:pt idx="162">
                  <c:v>0.86969315385905177</c:v>
                </c:pt>
                <c:pt idx="163">
                  <c:v>0.87473720576976843</c:v>
                </c:pt>
                <c:pt idx="164">
                  <c:v>0.87179483514943923</c:v>
                </c:pt>
                <c:pt idx="165">
                  <c:v>0.87095410378503124</c:v>
                </c:pt>
                <c:pt idx="166">
                  <c:v>0.87894069445394285</c:v>
                </c:pt>
                <c:pt idx="167">
                  <c:v>0.88188310710873852</c:v>
                </c:pt>
                <c:pt idx="168">
                  <c:v>0.87978138378388449</c:v>
                </c:pt>
                <c:pt idx="169">
                  <c:v>0.87431686110479756</c:v>
                </c:pt>
                <c:pt idx="170">
                  <c:v>0.87431686110479756</c:v>
                </c:pt>
                <c:pt idx="171">
                  <c:v>0.89323241306295009</c:v>
                </c:pt>
                <c:pt idx="172">
                  <c:v>0.88734762978782544</c:v>
                </c:pt>
                <c:pt idx="173">
                  <c:v>0.8894493110782129</c:v>
                </c:pt>
                <c:pt idx="174">
                  <c:v>0.88104237574433042</c:v>
                </c:pt>
                <c:pt idx="175">
                  <c:v>0.87473720576976843</c:v>
                </c:pt>
                <c:pt idx="176">
                  <c:v>0.87809996308953475</c:v>
                </c:pt>
                <c:pt idx="177">
                  <c:v>0.87894069445394285</c:v>
                </c:pt>
                <c:pt idx="178">
                  <c:v>0.89701551504768728</c:v>
                </c:pt>
                <c:pt idx="179">
                  <c:v>0.89701551504768728</c:v>
                </c:pt>
                <c:pt idx="180">
                  <c:v>0.89197133703357123</c:v>
                </c:pt>
                <c:pt idx="181">
                  <c:v>0.87978138378388449</c:v>
                </c:pt>
                <c:pt idx="182">
                  <c:v>0.87389660050875984</c:v>
                </c:pt>
                <c:pt idx="183">
                  <c:v>0.86759134646526481</c:v>
                </c:pt>
                <c:pt idx="184">
                  <c:v>0.86338798388448978</c:v>
                </c:pt>
                <c:pt idx="185">
                  <c:v>0.86717100180029405</c:v>
                </c:pt>
                <c:pt idx="186">
                  <c:v>0.86548966517487724</c:v>
                </c:pt>
                <c:pt idx="187">
                  <c:v>0.86086587386019842</c:v>
                </c:pt>
                <c:pt idx="188">
                  <c:v>0.86170656319014005</c:v>
                </c:pt>
                <c:pt idx="189">
                  <c:v>0.86170656319014005</c:v>
                </c:pt>
                <c:pt idx="190">
                  <c:v>0.85876415053534438</c:v>
                </c:pt>
                <c:pt idx="191">
                  <c:v>0.85792346120540275</c:v>
                </c:pt>
                <c:pt idx="192">
                  <c:v>0.86212690785511081</c:v>
                </c:pt>
                <c:pt idx="193">
                  <c:v>0.86422858914549827</c:v>
                </c:pt>
                <c:pt idx="194">
                  <c:v>0.86170656319013994</c:v>
                </c:pt>
                <c:pt idx="195">
                  <c:v>0.86170656319013994</c:v>
                </c:pt>
                <c:pt idx="196">
                  <c:v>0.87894069445394274</c:v>
                </c:pt>
                <c:pt idx="197">
                  <c:v>0.87809996308953464</c:v>
                </c:pt>
                <c:pt idx="198">
                  <c:v>0.88398487246805879</c:v>
                </c:pt>
                <c:pt idx="199">
                  <c:v>0.88650689842341712</c:v>
                </c:pt>
                <c:pt idx="200">
                  <c:v>0.89071038710759154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CC-E948-90E4-945D0B9A0E05}"/>
            </c:ext>
          </c:extLst>
        </c:ser>
        <c:ser>
          <c:idx val="7"/>
          <c:order val="7"/>
          <c:tx>
            <c:strRef>
              <c:f>Foglio2!$U$1</c:f>
              <c:strCache>
                <c:ptCount val="1"/>
                <c:pt idx="0">
                  <c:v>ALLIANZ EURO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Foglio2!$U$2:$U$202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1.0031662302879196</c:v>
                </c:pt>
                <c:pt idx="2">
                  <c:v>1.0054322223802759</c:v>
                </c:pt>
                <c:pt idx="3">
                  <c:v>0.99893360938350317</c:v>
                </c:pt>
                <c:pt idx="4">
                  <c:v>1.0037965462635179</c:v>
                </c:pt>
                <c:pt idx="5">
                  <c:v>1.0060215500648644</c:v>
                </c:pt>
                <c:pt idx="6">
                  <c:v>0.98750088325651775</c:v>
                </c:pt>
                <c:pt idx="7">
                  <c:v>0.98761245179486779</c:v>
                </c:pt>
                <c:pt idx="8">
                  <c:v>0.97750924869491773</c:v>
                </c:pt>
                <c:pt idx="9">
                  <c:v>0.97292271106035677</c:v>
                </c:pt>
                <c:pt idx="10">
                  <c:v>0.97847999460873347</c:v>
                </c:pt>
                <c:pt idx="11">
                  <c:v>0.98091821708870819</c:v>
                </c:pt>
                <c:pt idx="12">
                  <c:v>0.99129268488190792</c:v>
                </c:pt>
                <c:pt idx="13">
                  <c:v>0.99397186623829614</c:v>
                </c:pt>
                <c:pt idx="14">
                  <c:v>0.99878739034035691</c:v>
                </c:pt>
                <c:pt idx="15">
                  <c:v>0.9992507517967959</c:v>
                </c:pt>
                <c:pt idx="16">
                  <c:v>1.0070330420884066</c:v>
                </c:pt>
                <c:pt idx="17">
                  <c:v>0.98387662464768266</c:v>
                </c:pt>
                <c:pt idx="18">
                  <c:v>0.95751485146077009</c:v>
                </c:pt>
                <c:pt idx="19">
                  <c:v>0.9676363364612327</c:v>
                </c:pt>
                <c:pt idx="20">
                  <c:v>0.96659224915871733</c:v>
                </c:pt>
                <c:pt idx="21">
                  <c:v>0.96048621079711261</c:v>
                </c:pt>
                <c:pt idx="22">
                  <c:v>0.97173340910889372</c:v>
                </c:pt>
                <c:pt idx="23">
                  <c:v>0.95578258165110819</c:v>
                </c:pt>
                <c:pt idx="24">
                  <c:v>0.96934288511496902</c:v>
                </c:pt>
                <c:pt idx="25">
                  <c:v>0.96518146763415547</c:v>
                </c:pt>
                <c:pt idx="26">
                  <c:v>0.96996516848346948</c:v>
                </c:pt>
                <c:pt idx="27">
                  <c:v>0.93349046938581426</c:v>
                </c:pt>
                <c:pt idx="28">
                  <c:v>0.92576899914891253</c:v>
                </c:pt>
                <c:pt idx="29">
                  <c:v>0.91647104573752147</c:v>
                </c:pt>
                <c:pt idx="30">
                  <c:v>0.91423600529810001</c:v>
                </c:pt>
                <c:pt idx="31">
                  <c:v>0.88621252429057018</c:v>
                </c:pt>
                <c:pt idx="32">
                  <c:v>0.89620493190734807</c:v>
                </c:pt>
                <c:pt idx="33">
                  <c:v>0.90167569645266255</c:v>
                </c:pt>
                <c:pt idx="34">
                  <c:v>0.89906160598847251</c:v>
                </c:pt>
                <c:pt idx="35">
                  <c:v>0.89918643539592713</c:v>
                </c:pt>
                <c:pt idx="36">
                  <c:v>0.88165951508806184</c:v>
                </c:pt>
                <c:pt idx="37">
                  <c:v>0.89299696875506285</c:v>
                </c:pt>
                <c:pt idx="38">
                  <c:v>0.89626167472413287</c:v>
                </c:pt>
                <c:pt idx="39">
                  <c:v>0.88435340585140354</c:v>
                </c:pt>
                <c:pt idx="40">
                  <c:v>0.89153510205858366</c:v>
                </c:pt>
                <c:pt idx="41">
                  <c:v>0.92694815853750723</c:v>
                </c:pt>
                <c:pt idx="42">
                  <c:v>0.92632347084665945</c:v>
                </c:pt>
                <c:pt idx="43">
                  <c:v>0.92766705633196689</c:v>
                </c:pt>
                <c:pt idx="44">
                  <c:v>0.93368134186351559</c:v>
                </c:pt>
                <c:pt idx="45">
                  <c:v>0.94518281164524109</c:v>
                </c:pt>
                <c:pt idx="46">
                  <c:v>0.95636765182836558</c:v>
                </c:pt>
                <c:pt idx="47">
                  <c:v>0.94877850590900659</c:v>
                </c:pt>
                <c:pt idx="48">
                  <c:v>0.9473620800107605</c:v>
                </c:pt>
                <c:pt idx="49">
                  <c:v>0.94616058956380633</c:v>
                </c:pt>
                <c:pt idx="50">
                  <c:v>0.94418175814222616</c:v>
                </c:pt>
                <c:pt idx="51">
                  <c:v>0.92067191874383514</c:v>
                </c:pt>
                <c:pt idx="52">
                  <c:v>0.89487413996930065</c:v>
                </c:pt>
                <c:pt idx="53">
                  <c:v>0.88137974531545527</c:v>
                </c:pt>
                <c:pt idx="54">
                  <c:v>0.88767645766515257</c:v>
                </c:pt>
                <c:pt idx="55">
                  <c:v>0.87255151903889372</c:v>
                </c:pt>
                <c:pt idx="56">
                  <c:v>0.86873979390170231</c:v>
                </c:pt>
                <c:pt idx="57">
                  <c:v>0.88216897041959497</c:v>
                </c:pt>
                <c:pt idx="58">
                  <c:v>0.88647794713980266</c:v>
                </c:pt>
                <c:pt idx="59">
                  <c:v>0.89782136707928584</c:v>
                </c:pt>
                <c:pt idx="60">
                  <c:v>0.90158424962926709</c:v>
                </c:pt>
                <c:pt idx="61">
                  <c:v>0.90735110690959164</c:v>
                </c:pt>
                <c:pt idx="62">
                  <c:v>0.92599918423792493</c:v>
                </c:pt>
                <c:pt idx="63">
                  <c:v>0.91585776148640541</c:v>
                </c:pt>
                <c:pt idx="64">
                  <c:v>0.90475282961792869</c:v>
                </c:pt>
                <c:pt idx="65">
                  <c:v>0.91138568129522179</c:v>
                </c:pt>
                <c:pt idx="66">
                  <c:v>0.91758798250539453</c:v>
                </c:pt>
                <c:pt idx="67">
                  <c:v>0.92939549446998593</c:v>
                </c:pt>
                <c:pt idx="68">
                  <c:v>0.93764147288412514</c:v>
                </c:pt>
                <c:pt idx="69">
                  <c:v>0.93875629954141027</c:v>
                </c:pt>
                <c:pt idx="70">
                  <c:v>0.92810865678530041</c:v>
                </c:pt>
                <c:pt idx="71">
                  <c:v>0.92363881110779356</c:v>
                </c:pt>
                <c:pt idx="72">
                  <c:v>0.90825916228827952</c:v>
                </c:pt>
                <c:pt idx="73">
                  <c:v>0.90629903063646411</c:v>
                </c:pt>
                <c:pt idx="74">
                  <c:v>0.91185595983466694</c:v>
                </c:pt>
                <c:pt idx="75">
                  <c:v>0.92717665937268767</c:v>
                </c:pt>
                <c:pt idx="76">
                  <c:v>0.92359262653676355</c:v>
                </c:pt>
                <c:pt idx="77">
                  <c:v>0.94132395656569734</c:v>
                </c:pt>
                <c:pt idx="78">
                  <c:v>0.93397263643893214</c:v>
                </c:pt>
                <c:pt idx="79">
                  <c:v>0.94989185776174734</c:v>
                </c:pt>
                <c:pt idx="80">
                  <c:v>0.94527301584443668</c:v>
                </c:pt>
                <c:pt idx="81">
                  <c:v>0.93636753686111862</c:v>
                </c:pt>
                <c:pt idx="82">
                  <c:v>0.94881357292985369</c:v>
                </c:pt>
                <c:pt idx="83">
                  <c:v>0.95583756134967901</c:v>
                </c:pt>
                <c:pt idx="84">
                  <c:v>0.94742997319847178</c:v>
                </c:pt>
                <c:pt idx="85">
                  <c:v>0.97213966119984641</c:v>
                </c:pt>
                <c:pt idx="86">
                  <c:v>0.97003730735167437</c:v>
                </c:pt>
                <c:pt idx="87">
                  <c:v>0.97396889406848874</c:v>
                </c:pt>
                <c:pt idx="88">
                  <c:v>0.97053970614147578</c:v>
                </c:pt>
                <c:pt idx="89">
                  <c:v>0.96682263193922635</c:v>
                </c:pt>
                <c:pt idx="90">
                  <c:v>0.98187600581524859</c:v>
                </c:pt>
                <c:pt idx="91">
                  <c:v>0.98064436626958906</c:v>
                </c:pt>
                <c:pt idx="92">
                  <c:v>0.98880471796526992</c:v>
                </c:pt>
                <c:pt idx="93">
                  <c:v>0.99776689088368131</c:v>
                </c:pt>
                <c:pt idx="94">
                  <c:v>1.0053350157463559</c:v>
                </c:pt>
                <c:pt idx="95">
                  <c:v>1.0162841871781496</c:v>
                </c:pt>
                <c:pt idx="96">
                  <c:v>1.0260743682363254</c:v>
                </c:pt>
                <c:pt idx="97">
                  <c:v>1.0172816193502483</c:v>
                </c:pt>
                <c:pt idx="98">
                  <c:v>1.015681214471938</c:v>
                </c:pt>
                <c:pt idx="99">
                  <c:v>1.0099528731319927</c:v>
                </c:pt>
                <c:pt idx="100">
                  <c:v>1.0012961165485008</c:v>
                </c:pt>
                <c:pt idx="101">
                  <c:v>0.99147844640378713</c:v>
                </c:pt>
                <c:pt idx="102">
                  <c:v>0.99084289843963969</c:v>
                </c:pt>
                <c:pt idx="103">
                  <c:v>0.99401973434149959</c:v>
                </c:pt>
                <c:pt idx="104">
                  <c:v>1.0063590394740551</c:v>
                </c:pt>
                <c:pt idx="105">
                  <c:v>0.9899382501991667</c:v>
                </c:pt>
                <c:pt idx="106">
                  <c:v>0.98384197456089406</c:v>
                </c:pt>
                <c:pt idx="107">
                  <c:v>0.98461467782029233</c:v>
                </c:pt>
                <c:pt idx="108">
                  <c:v>0.96125377792903066</c:v>
                </c:pt>
                <c:pt idx="109">
                  <c:v>0.96517086597109913</c:v>
                </c:pt>
                <c:pt idx="110">
                  <c:v>0.95311912897233475</c:v>
                </c:pt>
                <c:pt idx="111">
                  <c:v>0.94855101189441704</c:v>
                </c:pt>
                <c:pt idx="112">
                  <c:v>0.97219583335079096</c:v>
                </c:pt>
                <c:pt idx="113">
                  <c:v>0.98437455213695857</c:v>
                </c:pt>
                <c:pt idx="114">
                  <c:v>0.99448850780875764</c:v>
                </c:pt>
                <c:pt idx="115">
                  <c:v>0.97741518158367457</c:v>
                </c:pt>
                <c:pt idx="116">
                  <c:v>0.96667341617621272</c:v>
                </c:pt>
                <c:pt idx="117">
                  <c:v>0.97466847901807019</c:v>
                </c:pt>
                <c:pt idx="118">
                  <c:v>0.96947345329829904</c:v>
                </c:pt>
                <c:pt idx="119">
                  <c:v>0.96980138457200771</c:v>
                </c:pt>
                <c:pt idx="120">
                  <c:v>0.98356044908612805</c:v>
                </c:pt>
                <c:pt idx="121">
                  <c:v>0.99080266315897192</c:v>
                </c:pt>
                <c:pt idx="122">
                  <c:v>0.9783866009654314</c:v>
                </c:pt>
                <c:pt idx="123">
                  <c:v>0.95107719311109606</c:v>
                </c:pt>
                <c:pt idx="124">
                  <c:v>0.93700445014806522</c:v>
                </c:pt>
                <c:pt idx="125">
                  <c:v>0.94006518611562029</c:v>
                </c:pt>
                <c:pt idx="126">
                  <c:v>0.92885416212057659</c:v>
                </c:pt>
                <c:pt idx="127">
                  <c:v>0.913315409293873</c:v>
                </c:pt>
                <c:pt idx="128">
                  <c:v>0.92007197127646068</c:v>
                </c:pt>
                <c:pt idx="129">
                  <c:v>0.92919697993912254</c:v>
                </c:pt>
                <c:pt idx="130">
                  <c:v>0.95738501695909084</c:v>
                </c:pt>
                <c:pt idx="131">
                  <c:v>0.96172979147891446</c:v>
                </c:pt>
                <c:pt idx="132">
                  <c:v>0.96742719825090573</c:v>
                </c:pt>
                <c:pt idx="133">
                  <c:v>0.95250967845887646</c:v>
                </c:pt>
                <c:pt idx="134">
                  <c:v>0.92997511829659196</c:v>
                </c:pt>
                <c:pt idx="135">
                  <c:v>0.93111808772541627</c:v>
                </c:pt>
                <c:pt idx="136">
                  <c:v>0.92099686891150967</c:v>
                </c:pt>
                <c:pt idx="137">
                  <c:v>0.9073044192875318</c:v>
                </c:pt>
                <c:pt idx="138">
                  <c:v>0.9341553144556729</c:v>
                </c:pt>
                <c:pt idx="139">
                  <c:v>0.93530825463874689</c:v>
                </c:pt>
                <c:pt idx="140">
                  <c:v>0.93827950241287628</c:v>
                </c:pt>
                <c:pt idx="141">
                  <c:v>0.9288311674075389</c:v>
                </c:pt>
                <c:pt idx="142">
                  <c:v>0.92071322865128025</c:v>
                </c:pt>
                <c:pt idx="143">
                  <c:v>0.90402927440363701</c:v>
                </c:pt>
                <c:pt idx="144">
                  <c:v>0.92768162566315571</c:v>
                </c:pt>
                <c:pt idx="145">
                  <c:v>0.93760708672895754</c:v>
                </c:pt>
                <c:pt idx="146">
                  <c:v>0.94643564274584846</c:v>
                </c:pt>
                <c:pt idx="147">
                  <c:v>0.94631403205432074</c:v>
                </c:pt>
                <c:pt idx="148">
                  <c:v>0.95476773373789814</c:v>
                </c:pt>
                <c:pt idx="149">
                  <c:v>0.96721240188707591</c:v>
                </c:pt>
                <c:pt idx="150">
                  <c:v>0.94514934676537143</c:v>
                </c:pt>
                <c:pt idx="151">
                  <c:v>0.93667580154746577</c:v>
                </c:pt>
                <c:pt idx="152">
                  <c:v>0.91637063958390286</c:v>
                </c:pt>
                <c:pt idx="153">
                  <c:v>0.92289116149895134</c:v>
                </c:pt>
                <c:pt idx="154">
                  <c:v>0.90456179143134896</c:v>
                </c:pt>
                <c:pt idx="155">
                  <c:v>0.89749505198049462</c:v>
                </c:pt>
                <c:pt idx="156">
                  <c:v>0.89475419543275769</c:v>
                </c:pt>
                <c:pt idx="157">
                  <c:v>0.90732400661753232</c:v>
                </c:pt>
                <c:pt idx="158">
                  <c:v>0.90408138473974298</c:v>
                </c:pt>
                <c:pt idx="159">
                  <c:v>0.91934905041413728</c:v>
                </c:pt>
                <c:pt idx="160">
                  <c:v>0.93183619706242149</c:v>
                </c:pt>
                <c:pt idx="161">
                  <c:v>0.93288731097968292</c:v>
                </c:pt>
                <c:pt idx="162">
                  <c:v>0.91809561308242693</c:v>
                </c:pt>
                <c:pt idx="163">
                  <c:v>0.91409951085408425</c:v>
                </c:pt>
                <c:pt idx="164">
                  <c:v>0.91173635830361788</c:v>
                </c:pt>
                <c:pt idx="165">
                  <c:v>0.91442145544742792</c:v>
                </c:pt>
                <c:pt idx="166">
                  <c:v>0.92476811380521873</c:v>
                </c:pt>
                <c:pt idx="167">
                  <c:v>0.92975480911649555</c:v>
                </c:pt>
                <c:pt idx="168">
                  <c:v>0.91856641488471746</c:v>
                </c:pt>
                <c:pt idx="169">
                  <c:v>0.90392436066215642</c:v>
                </c:pt>
                <c:pt idx="170">
                  <c:v>0.90257244200670339</c:v>
                </c:pt>
                <c:pt idx="171">
                  <c:v>0.92625171522404215</c:v>
                </c:pt>
                <c:pt idx="172">
                  <c:v>0.92260247939957885</c:v>
                </c:pt>
                <c:pt idx="173">
                  <c:v>0.92089525785729531</c:v>
                </c:pt>
                <c:pt idx="174">
                  <c:v>0.90818285890438177</c:v>
                </c:pt>
                <c:pt idx="175">
                  <c:v>0.90489181445965161</c:v>
                </c:pt>
                <c:pt idx="176">
                  <c:v>0.90668847773056693</c:v>
                </c:pt>
                <c:pt idx="177">
                  <c:v>0.90030494201808098</c:v>
                </c:pt>
                <c:pt idx="178">
                  <c:v>0.91454186407511184</c:v>
                </c:pt>
                <c:pt idx="179">
                  <c:v>0.9176179665843075</c:v>
                </c:pt>
                <c:pt idx="180">
                  <c:v>0.91724390319201121</c:v>
                </c:pt>
                <c:pt idx="181">
                  <c:v>0.90219079543593694</c:v>
                </c:pt>
                <c:pt idx="182">
                  <c:v>0.89510960316212007</c:v>
                </c:pt>
                <c:pt idx="183">
                  <c:v>0.89006759861443829</c:v>
                </c:pt>
                <c:pt idx="184">
                  <c:v>0.88631920681365861</c:v>
                </c:pt>
                <c:pt idx="185">
                  <c:v>0.88482283095353353</c:v>
                </c:pt>
                <c:pt idx="186">
                  <c:v>0.88539632930007783</c:v>
                </c:pt>
                <c:pt idx="187">
                  <c:v>0.88091870240623782</c:v>
                </c:pt>
                <c:pt idx="188">
                  <c:v>0.88243600018783175</c:v>
                </c:pt>
                <c:pt idx="189">
                  <c:v>0.87982861008808089</c:v>
                </c:pt>
                <c:pt idx="190">
                  <c:v>0.87281423904894817</c:v>
                </c:pt>
                <c:pt idx="191">
                  <c:v>0.87457460251755703</c:v>
                </c:pt>
                <c:pt idx="192">
                  <c:v>0.88976407985867667</c:v>
                </c:pt>
                <c:pt idx="193">
                  <c:v>0.88692785386699569</c:v>
                </c:pt>
                <c:pt idx="194">
                  <c:v>0.89141196962204838</c:v>
                </c:pt>
                <c:pt idx="195">
                  <c:v>0.8801943686935555</c:v>
                </c:pt>
                <c:pt idx="196">
                  <c:v>0.89136914801544731</c:v>
                </c:pt>
                <c:pt idx="197">
                  <c:v>0.89003805709416883</c:v>
                </c:pt>
                <c:pt idx="198">
                  <c:v>0.89375173115095585</c:v>
                </c:pt>
                <c:pt idx="199">
                  <c:v>0.88852394274840785</c:v>
                </c:pt>
                <c:pt idx="200">
                  <c:v>0.8956746775542026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CC-E948-90E4-945D0B9A0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931551"/>
        <c:axId val="260647327"/>
      </c:lineChart>
      <c:catAx>
        <c:axId val="32293155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60647327"/>
        <c:crosses val="autoZero"/>
        <c:auto val="1"/>
        <c:lblAlgn val="ctr"/>
        <c:lblOffset val="100"/>
        <c:noMultiLvlLbl val="0"/>
      </c:catAx>
      <c:valAx>
        <c:axId val="2606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293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198120</xdr:colOff>
      <xdr:row>256</xdr:row>
      <xdr:rowOff>36575</xdr:rowOff>
    </xdr:from>
    <xdr:ext cx="234950" cy="186055"/>
    <xdr:sp macro="" textlink="">
      <xdr:nvSpPr>
        <xdr:cNvPr id="13" name="Shape 8">
          <a:extLst>
            <a:ext uri="{FF2B5EF4-FFF2-40B4-BE49-F238E27FC236}">
              <a16:creationId xmlns:a16="http://schemas.microsoft.com/office/drawing/2014/main" id="{07A3BE72-B137-5A47-AF20-41E12928A592}"/>
            </a:ext>
          </a:extLst>
        </xdr:cNvPr>
        <xdr:cNvSpPr/>
      </xdr:nvSpPr>
      <xdr:spPr>
        <a:xfrm>
          <a:off x="2179320" y="5294375"/>
          <a:ext cx="234950" cy="186055"/>
        </a:xfrm>
        <a:custGeom>
          <a:avLst/>
          <a:gdLst/>
          <a:ahLst/>
          <a:cxnLst/>
          <a:rect l="0" t="0" r="0" b="0"/>
          <a:pathLst>
            <a:path w="234950" h="186055">
              <a:moveTo>
                <a:pt x="234695" y="0"/>
              </a:moveTo>
              <a:lnTo>
                <a:pt x="0" y="0"/>
              </a:lnTo>
              <a:lnTo>
                <a:pt x="0" y="185927"/>
              </a:lnTo>
              <a:lnTo>
                <a:pt x="234695" y="185927"/>
              </a:lnTo>
              <a:lnTo>
                <a:pt x="234695" y="0"/>
              </a:lnTo>
              <a:close/>
            </a:path>
          </a:pathLst>
        </a:custGeom>
        <a:solidFill>
          <a:srgbClr val="00FF00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1</xdr:row>
      <xdr:rowOff>76200</xdr:rowOff>
    </xdr:from>
    <xdr:to>
      <xdr:col>16</xdr:col>
      <xdr:colOff>203200</xdr:colOff>
      <xdr:row>43</xdr:row>
      <xdr:rowOff>63500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A4C8A2B4-9980-8F93-D5B3-47D1AF423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183AC-3204-9D4E-95E8-61DE399D8F79}" name="Tabella32" displayName="Tabella32" ref="A1:D26" totalsRowShown="0" dataDxfId="10">
  <autoFilter ref="A1:D26" xr:uid="{246183AC-3204-9D4E-95E8-61DE399D8F79}"/>
  <tableColumns count="4">
    <tableColumn id="1" xr3:uid="{12AF85F4-CF3E-1A44-9197-52CD700ECF69}" name="SIMBOLO" dataDxfId="9"/>
    <tableColumn id="2" xr3:uid="{D2DEAFE7-7181-F841-96D9-E16F6CD58118}" name="DESCRIZIONE" dataDxfId="8"/>
    <tableColumn id="3" xr3:uid="{036B7D95-54D0-CE4A-A97C-6EC741E876E4}" name="VALUTA" dataDxfId="7"/>
    <tableColumn id="4" xr3:uid="{BC856CD8-BE7C-D246-AFFE-8A0458341DA0}" name="CLASSE" dataDxfId="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919E7F-61A8-DB47-85A6-D1B66A3AD480}" name="Tabella323" displayName="Tabella323" ref="A1:D53" totalsRowShown="0" headerRowDxfId="1" dataDxfId="0">
  <autoFilter ref="A1:D53" xr:uid="{48919E7F-61A8-DB47-85A6-D1B66A3AD480}"/>
  <tableColumns count="4">
    <tableColumn id="1" xr3:uid="{99BE53A6-82BE-7C4C-8EDB-FC2585DE7E29}" name="SIMBOLO" dataDxfId="5"/>
    <tableColumn id="2" xr3:uid="{79CB9D70-57D7-004E-8DD2-11CA0A269F24}" name="DESCRIZIONE" dataDxfId="4"/>
    <tableColumn id="3" xr3:uid="{4221CAB4-B4C0-5746-BDF4-C3FC111D5F78}" name="VALUTA" dataDxfId="3"/>
    <tableColumn id="4" xr3:uid="{530400BE-E6AA-4A47-B046-BF29D0205198}" name="CLASSE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XEIN.DE/" TargetMode="External"/><Relationship Id="rId3" Type="http://schemas.openxmlformats.org/officeDocument/2006/relationships/hyperlink" Target="http://zprv.de/" TargetMode="External"/><Relationship Id="rId7" Type="http://schemas.openxmlformats.org/officeDocument/2006/relationships/hyperlink" Target="https://finance.yahoo.com/quote/SXRQ.DE/" TargetMode="External"/><Relationship Id="rId2" Type="http://schemas.openxmlformats.org/officeDocument/2006/relationships/hyperlink" Target="http://iusq.de/" TargetMode="External"/><Relationship Id="rId1" Type="http://schemas.openxmlformats.org/officeDocument/2006/relationships/hyperlink" Target="http://xgin.de/" TargetMode="External"/><Relationship Id="rId6" Type="http://schemas.openxmlformats.org/officeDocument/2006/relationships/hyperlink" Target="https://finance.yahoo.com/quote/CSBGE7.MI/" TargetMode="External"/><Relationship Id="rId5" Type="http://schemas.openxmlformats.org/officeDocument/2006/relationships/hyperlink" Target="https://finance.yahoo.com/quote/CSBGE3.MI/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://iusg.de/" TargetMode="External"/><Relationship Id="rId9" Type="http://schemas.openxmlformats.org/officeDocument/2006/relationships/hyperlink" Target="https://finance.yahoo.com/quote/XEIN.DE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ybj.de/" TargetMode="External"/><Relationship Id="rId13" Type="http://schemas.openxmlformats.org/officeDocument/2006/relationships/hyperlink" Target="http://iusq.de/" TargetMode="External"/><Relationship Id="rId3" Type="http://schemas.openxmlformats.org/officeDocument/2006/relationships/hyperlink" Target="http://exx5.de/" TargetMode="External"/><Relationship Id="rId7" Type="http://schemas.openxmlformats.org/officeDocument/2006/relationships/hyperlink" Target="http://syb3.de/" TargetMode="External"/><Relationship Id="rId12" Type="http://schemas.openxmlformats.org/officeDocument/2006/relationships/hyperlink" Target="http://sxr8.de/" TargetMode="External"/><Relationship Id="rId17" Type="http://schemas.openxmlformats.org/officeDocument/2006/relationships/table" Target="../tables/table2.xml"/><Relationship Id="rId2" Type="http://schemas.openxmlformats.org/officeDocument/2006/relationships/hyperlink" Target="http://exie.de/" TargetMode="External"/><Relationship Id="rId16" Type="http://schemas.openxmlformats.org/officeDocument/2006/relationships/hyperlink" Target="http://iusg.de/" TargetMode="External"/><Relationship Id="rId1" Type="http://schemas.openxmlformats.org/officeDocument/2006/relationships/hyperlink" Target="http://eunl.de/" TargetMode="External"/><Relationship Id="rId6" Type="http://schemas.openxmlformats.org/officeDocument/2006/relationships/hyperlink" Target="http://ibgl.de/" TargetMode="External"/><Relationship Id="rId11" Type="http://schemas.openxmlformats.org/officeDocument/2006/relationships/hyperlink" Target="http://spyy.de/" TargetMode="External"/><Relationship Id="rId5" Type="http://schemas.openxmlformats.org/officeDocument/2006/relationships/hyperlink" Target="http://ibgm.de/" TargetMode="External"/><Relationship Id="rId15" Type="http://schemas.openxmlformats.org/officeDocument/2006/relationships/hyperlink" Target="http://xad5.de/" TargetMode="External"/><Relationship Id="rId10" Type="http://schemas.openxmlformats.org/officeDocument/2006/relationships/hyperlink" Target="http://anx.pa/" TargetMode="External"/><Relationship Id="rId4" Type="http://schemas.openxmlformats.org/officeDocument/2006/relationships/hyperlink" Target="http://ibgs.de/" TargetMode="External"/><Relationship Id="rId9" Type="http://schemas.openxmlformats.org/officeDocument/2006/relationships/hyperlink" Target="http://xgin.de/" TargetMode="External"/><Relationship Id="rId14" Type="http://schemas.openxmlformats.org/officeDocument/2006/relationships/hyperlink" Target="http://zprv.de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t.finance.yahoo.com/quote/LTMC.MI/" TargetMode="External"/><Relationship Id="rId13" Type="http://schemas.openxmlformats.org/officeDocument/2006/relationships/hyperlink" Target="https://it.finance.yahoo.com/quote/BZU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SPM.MI/" TargetMode="External"/><Relationship Id="rId3" Type="http://schemas.openxmlformats.org/officeDocument/2006/relationships/hyperlink" Target="https://it.finance.yahoo.com/quote/TIT.MI/" TargetMode="External"/><Relationship Id="rId21" Type="http://schemas.openxmlformats.org/officeDocument/2006/relationships/hyperlink" Target="https://it.finance.yahoo.com/quote/UNI.MI/" TargetMode="External"/><Relationship Id="rId7" Type="http://schemas.openxmlformats.org/officeDocument/2006/relationships/hyperlink" Target="https://it.finance.yahoo.com/quote/ISP.MI/" TargetMode="External"/><Relationship Id="rId12" Type="http://schemas.openxmlformats.org/officeDocument/2006/relationships/hyperlink" Target="https://it.finance.yahoo.com/quote/G.MI/" TargetMode="External"/><Relationship Id="rId17" Type="http://schemas.openxmlformats.org/officeDocument/2006/relationships/hyperlink" Target="https://it.finance.yahoo.com/quote/RACE.MI/" TargetMode="External"/><Relationship Id="rId25" Type="http://schemas.openxmlformats.org/officeDocument/2006/relationships/hyperlink" Target="https://it.finance.yahoo.com/quote/SRG.MI/" TargetMode="External"/><Relationship Id="rId2" Type="http://schemas.openxmlformats.org/officeDocument/2006/relationships/hyperlink" Target="https://it.finance.yahoo.com/quote/AZM.MI/" TargetMode="External"/><Relationship Id="rId16" Type="http://schemas.openxmlformats.org/officeDocument/2006/relationships/hyperlink" Target="https://it.finance.yahoo.com/quote/ENI.MI/" TargetMode="External"/><Relationship Id="rId20" Type="http://schemas.openxmlformats.org/officeDocument/2006/relationships/hyperlink" Target="https://it.finance.yahoo.com/quote/STLAM.MI/" TargetMode="External"/><Relationship Id="rId29" Type="http://schemas.openxmlformats.org/officeDocument/2006/relationships/hyperlink" Target="https://it.finance.yahoo.com/quote/PST.MI/" TargetMode="External"/><Relationship Id="rId1" Type="http://schemas.openxmlformats.org/officeDocument/2006/relationships/hyperlink" Target="https://it.finance.yahoo.com/quote/FBK.MI/" TargetMode="External"/><Relationship Id="rId6" Type="http://schemas.openxmlformats.org/officeDocument/2006/relationships/hyperlink" Target="https://it.finance.yahoo.com/quote/IG.MI/" TargetMode="External"/><Relationship Id="rId11" Type="http://schemas.openxmlformats.org/officeDocument/2006/relationships/hyperlink" Target="https://it.finance.yahoo.com/quote/TEN.MI/" TargetMode="External"/><Relationship Id="rId24" Type="http://schemas.openxmlformats.org/officeDocument/2006/relationships/hyperlink" Target="https://it.finance.yahoo.com/quote/TRN.MI/" TargetMode="External"/><Relationship Id="rId5" Type="http://schemas.openxmlformats.org/officeDocument/2006/relationships/hyperlink" Target="https://it.finance.yahoo.com/quote/BMED.MI/" TargetMode="External"/><Relationship Id="rId15" Type="http://schemas.openxmlformats.org/officeDocument/2006/relationships/hyperlink" Target="https://it.finance.yahoo.com/quote/DIA.MI/" TargetMode="External"/><Relationship Id="rId23" Type="http://schemas.openxmlformats.org/officeDocument/2006/relationships/hyperlink" Target="https://it.finance.yahoo.com/quote/BAMI.MI/" TargetMode="External"/><Relationship Id="rId28" Type="http://schemas.openxmlformats.org/officeDocument/2006/relationships/hyperlink" Target="https://it.finance.yahoo.com/quote/PRY.MI/" TargetMode="External"/><Relationship Id="rId10" Type="http://schemas.openxmlformats.org/officeDocument/2006/relationships/hyperlink" Target="https://it.finance.yahoo.com/quote/CPR.MI/" TargetMode="External"/><Relationship Id="rId19" Type="http://schemas.openxmlformats.org/officeDocument/2006/relationships/hyperlink" Target="https://it.finance.yahoo.com/quote/BC.MI/" TargetMode="External"/><Relationship Id="rId4" Type="http://schemas.openxmlformats.org/officeDocument/2006/relationships/hyperlink" Target="https://it.finance.yahoo.com/quote/LDO.MI/" TargetMode="External"/><Relationship Id="rId9" Type="http://schemas.openxmlformats.org/officeDocument/2006/relationships/hyperlink" Target="https://it.finance.yahoo.com/quote/MB.MI/" TargetMode="External"/><Relationship Id="rId14" Type="http://schemas.openxmlformats.org/officeDocument/2006/relationships/hyperlink" Target="https://it.finance.yahoo.com/quote/REC.MI/" TargetMode="External"/><Relationship Id="rId22" Type="http://schemas.openxmlformats.org/officeDocument/2006/relationships/hyperlink" Target="https://it.finance.yahoo.com/quote/MONC.MI/" TargetMode="External"/><Relationship Id="rId27" Type="http://schemas.openxmlformats.org/officeDocument/2006/relationships/hyperlink" Target="https://it.finance.yahoo.com/quote/BPE.MI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it.finance.yahoo.com/quote/BAMI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CPR.MI/" TargetMode="External"/><Relationship Id="rId21" Type="http://schemas.openxmlformats.org/officeDocument/2006/relationships/hyperlink" Target="https://it.finance.yahoo.com/quote/DIA.MI/" TargetMode="External"/><Relationship Id="rId34" Type="http://schemas.openxmlformats.org/officeDocument/2006/relationships/hyperlink" Target="https://it.finance.yahoo.com/quote/AZM.MI/" TargetMode="External"/><Relationship Id="rId7" Type="http://schemas.openxmlformats.org/officeDocument/2006/relationships/hyperlink" Target="https://it.finance.yahoo.com/quote/PST.MI/" TargetMode="External"/><Relationship Id="rId12" Type="http://schemas.openxmlformats.org/officeDocument/2006/relationships/hyperlink" Target="https://it.finance.yahoo.com/quote/TRN.MI/" TargetMode="External"/><Relationship Id="rId17" Type="http://schemas.openxmlformats.org/officeDocument/2006/relationships/hyperlink" Target="https://it.finance.yahoo.com/quote/BC.MI/" TargetMode="External"/><Relationship Id="rId25" Type="http://schemas.openxmlformats.org/officeDocument/2006/relationships/hyperlink" Target="https://it.finance.yahoo.com/quote/TEN.MI/" TargetMode="External"/><Relationship Id="rId33" Type="http://schemas.openxmlformats.org/officeDocument/2006/relationships/hyperlink" Target="https://it.finance.yahoo.com/quote/TIT.MI/" TargetMode="External"/><Relationship Id="rId2" Type="http://schemas.openxmlformats.org/officeDocument/2006/relationships/hyperlink" Target="https://www.lazyportfolioetf.com/etf/spdr-gold-trust-gld/" TargetMode="External"/><Relationship Id="rId16" Type="http://schemas.openxmlformats.org/officeDocument/2006/relationships/hyperlink" Target="https://it.finance.yahoo.com/quote/STLAM.MI/" TargetMode="External"/><Relationship Id="rId20" Type="http://schemas.openxmlformats.org/officeDocument/2006/relationships/hyperlink" Target="https://it.finance.yahoo.com/quote/ENI.MI/" TargetMode="External"/><Relationship Id="rId29" Type="http://schemas.openxmlformats.org/officeDocument/2006/relationships/hyperlink" Target="https://it.finance.yahoo.com/quote/ISP.MI/" TargetMode="External"/><Relationship Id="rId1" Type="http://schemas.openxmlformats.org/officeDocument/2006/relationships/hyperlink" Target="https://www.lazyportfolioetf.com/etf/spdr-gold-trust-gld/" TargetMode="External"/><Relationship Id="rId6" Type="http://schemas.openxmlformats.org/officeDocument/2006/relationships/hyperlink" Target="https://www.lazyportfolioetf.com/etf/vanguard-total-stock-market-vti/" TargetMode="External"/><Relationship Id="rId11" Type="http://schemas.openxmlformats.org/officeDocument/2006/relationships/hyperlink" Target="https://it.finance.yahoo.com/quote/SRG.MI/" TargetMode="External"/><Relationship Id="rId24" Type="http://schemas.openxmlformats.org/officeDocument/2006/relationships/hyperlink" Target="https://it.finance.yahoo.com/quote/G.MI/" TargetMode="External"/><Relationship Id="rId32" Type="http://schemas.openxmlformats.org/officeDocument/2006/relationships/hyperlink" Target="https://it.finance.yahoo.com/quote/LDO.MI/" TargetMode="External"/><Relationship Id="rId37" Type="http://schemas.openxmlformats.org/officeDocument/2006/relationships/hyperlink" Target="https://finance.yahoo.com/quote/NNN0.F/" TargetMode="External"/><Relationship Id="rId5" Type="http://schemas.openxmlformats.org/officeDocument/2006/relationships/hyperlink" Target="https://www.lazyportfolioetf.com/etf/vanguard-total-stock-market-vti/" TargetMode="External"/><Relationship Id="rId15" Type="http://schemas.openxmlformats.org/officeDocument/2006/relationships/hyperlink" Target="https://it.finance.yahoo.com/quote/UNI.MI/" TargetMode="External"/><Relationship Id="rId23" Type="http://schemas.openxmlformats.org/officeDocument/2006/relationships/hyperlink" Target="https://it.finance.yahoo.com/quote/BZU.MI/" TargetMode="External"/><Relationship Id="rId28" Type="http://schemas.openxmlformats.org/officeDocument/2006/relationships/hyperlink" Target="https://it.finance.yahoo.com/quote/LTMC.MI/" TargetMode="External"/><Relationship Id="rId36" Type="http://schemas.openxmlformats.org/officeDocument/2006/relationships/hyperlink" Target="https://finance.yahoo.com/quote/XSDG.F/" TargetMode="External"/><Relationship Id="rId10" Type="http://schemas.openxmlformats.org/officeDocument/2006/relationships/hyperlink" Target="https://it.finance.yahoo.com/quote/SPM.MI/" TargetMode="External"/><Relationship Id="rId19" Type="http://schemas.openxmlformats.org/officeDocument/2006/relationships/hyperlink" Target="https://it.finance.yahoo.com/quote/RACE.MI/" TargetMode="External"/><Relationship Id="rId31" Type="http://schemas.openxmlformats.org/officeDocument/2006/relationships/hyperlink" Target="https://it.finance.yahoo.com/quote/BMED.MI/" TargetMode="External"/><Relationship Id="rId4" Type="http://schemas.openxmlformats.org/officeDocument/2006/relationships/hyperlink" Target="https://www.lazyportfolioetf.com/etf/ishares-sp-gsci-commodity-indexed-trust-gsg/" TargetMode="External"/><Relationship Id="rId9" Type="http://schemas.openxmlformats.org/officeDocument/2006/relationships/hyperlink" Target="https://it.finance.yahoo.com/quote/BPE.MI/" TargetMode="External"/><Relationship Id="rId14" Type="http://schemas.openxmlformats.org/officeDocument/2006/relationships/hyperlink" Target="https://it.finance.yahoo.com/quote/MONC.MI/" TargetMode="External"/><Relationship Id="rId22" Type="http://schemas.openxmlformats.org/officeDocument/2006/relationships/hyperlink" Target="https://it.finance.yahoo.com/quote/REC.MI/" TargetMode="External"/><Relationship Id="rId27" Type="http://schemas.openxmlformats.org/officeDocument/2006/relationships/hyperlink" Target="https://it.finance.yahoo.com/quote/MB.MI/" TargetMode="External"/><Relationship Id="rId30" Type="http://schemas.openxmlformats.org/officeDocument/2006/relationships/hyperlink" Target="https://it.finance.yahoo.com/quote/IG.MI/" TargetMode="External"/><Relationship Id="rId35" Type="http://schemas.openxmlformats.org/officeDocument/2006/relationships/hyperlink" Target="https://it.finance.yahoo.com/quote/FBK.MI/" TargetMode="External"/><Relationship Id="rId8" Type="http://schemas.openxmlformats.org/officeDocument/2006/relationships/hyperlink" Target="https://it.finance.yahoo.com/quote/PRY.MI/" TargetMode="External"/><Relationship Id="rId3" Type="http://schemas.openxmlformats.org/officeDocument/2006/relationships/hyperlink" Target="https://www.lazyportfolioetf.com/etf/ishares-sp-gsci-commodity-indexed-trust-gsg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it.finance.yahoo.com/quote/BAMI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CPR.MI/" TargetMode="External"/><Relationship Id="rId3" Type="http://schemas.openxmlformats.org/officeDocument/2006/relationships/hyperlink" Target="https://www.lazyportfolioetf.com/etf/ishares-sp-gsci-commodity-indexed-trust-gsg/" TargetMode="External"/><Relationship Id="rId21" Type="http://schemas.openxmlformats.org/officeDocument/2006/relationships/hyperlink" Target="https://it.finance.yahoo.com/quote/DIA.MI/" TargetMode="External"/><Relationship Id="rId34" Type="http://schemas.openxmlformats.org/officeDocument/2006/relationships/hyperlink" Target="https://it.finance.yahoo.com/quote/AZM.MI/" TargetMode="External"/><Relationship Id="rId7" Type="http://schemas.openxmlformats.org/officeDocument/2006/relationships/hyperlink" Target="https://it.finance.yahoo.com/quote/PST.MI/" TargetMode="External"/><Relationship Id="rId12" Type="http://schemas.openxmlformats.org/officeDocument/2006/relationships/hyperlink" Target="https://it.finance.yahoo.com/quote/TRN.MI/" TargetMode="External"/><Relationship Id="rId17" Type="http://schemas.openxmlformats.org/officeDocument/2006/relationships/hyperlink" Target="https://it.finance.yahoo.com/quote/BC.MI/" TargetMode="External"/><Relationship Id="rId25" Type="http://schemas.openxmlformats.org/officeDocument/2006/relationships/hyperlink" Target="https://it.finance.yahoo.com/quote/TEN.MI/" TargetMode="External"/><Relationship Id="rId33" Type="http://schemas.openxmlformats.org/officeDocument/2006/relationships/hyperlink" Target="https://it.finance.yahoo.com/quote/TIT.MI/" TargetMode="External"/><Relationship Id="rId2" Type="http://schemas.openxmlformats.org/officeDocument/2006/relationships/hyperlink" Target="https://www.lazyportfolioetf.com/etf/spdr-gold-trust-gld/" TargetMode="External"/><Relationship Id="rId16" Type="http://schemas.openxmlformats.org/officeDocument/2006/relationships/hyperlink" Target="https://it.finance.yahoo.com/quote/STLAM.MI/" TargetMode="External"/><Relationship Id="rId20" Type="http://schemas.openxmlformats.org/officeDocument/2006/relationships/hyperlink" Target="https://it.finance.yahoo.com/quote/ENI.MI/" TargetMode="External"/><Relationship Id="rId29" Type="http://schemas.openxmlformats.org/officeDocument/2006/relationships/hyperlink" Target="https://it.finance.yahoo.com/quote/ISP.MI/" TargetMode="External"/><Relationship Id="rId1" Type="http://schemas.openxmlformats.org/officeDocument/2006/relationships/hyperlink" Target="https://www.lazyportfolioetf.com/etf/spdr-gold-trust-gld/" TargetMode="External"/><Relationship Id="rId6" Type="http://schemas.openxmlformats.org/officeDocument/2006/relationships/hyperlink" Target="https://www.lazyportfolioetf.com/etf/vanguard-total-stock-market-vti/" TargetMode="External"/><Relationship Id="rId11" Type="http://schemas.openxmlformats.org/officeDocument/2006/relationships/hyperlink" Target="https://it.finance.yahoo.com/quote/SRG.MI/" TargetMode="External"/><Relationship Id="rId24" Type="http://schemas.openxmlformats.org/officeDocument/2006/relationships/hyperlink" Target="https://it.finance.yahoo.com/quote/G.MI/" TargetMode="External"/><Relationship Id="rId32" Type="http://schemas.openxmlformats.org/officeDocument/2006/relationships/hyperlink" Target="https://it.finance.yahoo.com/quote/LDO.MI/" TargetMode="External"/><Relationship Id="rId5" Type="http://schemas.openxmlformats.org/officeDocument/2006/relationships/hyperlink" Target="https://www.lazyportfolioetf.com/etf/vanguard-total-stock-market-vti/" TargetMode="External"/><Relationship Id="rId15" Type="http://schemas.openxmlformats.org/officeDocument/2006/relationships/hyperlink" Target="https://it.finance.yahoo.com/quote/UNI.MI/" TargetMode="External"/><Relationship Id="rId23" Type="http://schemas.openxmlformats.org/officeDocument/2006/relationships/hyperlink" Target="https://it.finance.yahoo.com/quote/BZU.MI/" TargetMode="External"/><Relationship Id="rId28" Type="http://schemas.openxmlformats.org/officeDocument/2006/relationships/hyperlink" Target="https://it.finance.yahoo.com/quote/LTMC.MI/" TargetMode="External"/><Relationship Id="rId10" Type="http://schemas.openxmlformats.org/officeDocument/2006/relationships/hyperlink" Target="https://it.finance.yahoo.com/quote/SPM.MI/" TargetMode="External"/><Relationship Id="rId19" Type="http://schemas.openxmlformats.org/officeDocument/2006/relationships/hyperlink" Target="https://it.finance.yahoo.com/quote/RACE.MI/" TargetMode="External"/><Relationship Id="rId31" Type="http://schemas.openxmlformats.org/officeDocument/2006/relationships/hyperlink" Target="https://it.finance.yahoo.com/quote/BMED.MI/" TargetMode="External"/><Relationship Id="rId4" Type="http://schemas.openxmlformats.org/officeDocument/2006/relationships/hyperlink" Target="https://www.lazyportfolioetf.com/etf/ishares-sp-gsci-commodity-indexed-trust-gsg/" TargetMode="External"/><Relationship Id="rId9" Type="http://schemas.openxmlformats.org/officeDocument/2006/relationships/hyperlink" Target="https://it.finance.yahoo.com/quote/BPE.MI/" TargetMode="External"/><Relationship Id="rId14" Type="http://schemas.openxmlformats.org/officeDocument/2006/relationships/hyperlink" Target="https://it.finance.yahoo.com/quote/MONC.MI/" TargetMode="External"/><Relationship Id="rId22" Type="http://schemas.openxmlformats.org/officeDocument/2006/relationships/hyperlink" Target="https://it.finance.yahoo.com/quote/REC.MI/" TargetMode="External"/><Relationship Id="rId27" Type="http://schemas.openxmlformats.org/officeDocument/2006/relationships/hyperlink" Target="https://it.finance.yahoo.com/quote/MB.MI/" TargetMode="External"/><Relationship Id="rId30" Type="http://schemas.openxmlformats.org/officeDocument/2006/relationships/hyperlink" Target="https://it.finance.yahoo.com/quote/IG.MI/" TargetMode="External"/><Relationship Id="rId35" Type="http://schemas.openxmlformats.org/officeDocument/2006/relationships/hyperlink" Target="https://it.finance.yahoo.com/quote/FBK.MI/" TargetMode="External"/><Relationship Id="rId8" Type="http://schemas.openxmlformats.org/officeDocument/2006/relationships/hyperlink" Target="https://it.finance.yahoo.com/quote/PRY.MI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7" Type="http://schemas.openxmlformats.org/officeDocument/2006/relationships/hyperlink" Target="https://www.lazyportfolioetf.com/etf/spdr-gold-trust-gld/" TargetMode="External"/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5" Type="http://schemas.openxmlformats.org/officeDocument/2006/relationships/hyperlink" Target="https://www.lazyportfolioetf.com/etf/ishares-3-7-year-treasury-bond-iei/" TargetMode="External"/><Relationship Id="rId10" Type="http://schemas.openxmlformats.org/officeDocument/2006/relationships/hyperlink" Target="https://www.lazyportfolioetf.com/etf/ishares-sp-gsci-commodity-indexed-trust-gsg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it.finance.yahoo.com/quote/TRN.MI/" TargetMode="External"/><Relationship Id="rId13" Type="http://schemas.openxmlformats.org/officeDocument/2006/relationships/hyperlink" Target="https://it.finance.yahoo.com/quote/BC.MI/" TargetMode="External"/><Relationship Id="rId18" Type="http://schemas.openxmlformats.org/officeDocument/2006/relationships/hyperlink" Target="https://it.finance.yahoo.com/quote/REC.MI/" TargetMode="External"/><Relationship Id="rId26" Type="http://schemas.openxmlformats.org/officeDocument/2006/relationships/hyperlink" Target="https://it.finance.yahoo.com/quote/IG.MI/" TargetMode="External"/><Relationship Id="rId3" Type="http://schemas.openxmlformats.org/officeDocument/2006/relationships/hyperlink" Target="https://it.finance.yahoo.com/quote/PST.MI/" TargetMode="External"/><Relationship Id="rId21" Type="http://schemas.openxmlformats.org/officeDocument/2006/relationships/hyperlink" Target="https://it.finance.yahoo.com/quote/TEN.MI/" TargetMode="External"/><Relationship Id="rId7" Type="http://schemas.openxmlformats.org/officeDocument/2006/relationships/hyperlink" Target="https://it.finance.yahoo.com/quote/SRG.MI/" TargetMode="External"/><Relationship Id="rId12" Type="http://schemas.openxmlformats.org/officeDocument/2006/relationships/hyperlink" Target="https://it.finance.yahoo.com/quote/STLAM.MI/" TargetMode="External"/><Relationship Id="rId17" Type="http://schemas.openxmlformats.org/officeDocument/2006/relationships/hyperlink" Target="https://it.finance.yahoo.com/quote/DIA.MI/" TargetMode="External"/><Relationship Id="rId25" Type="http://schemas.openxmlformats.org/officeDocument/2006/relationships/hyperlink" Target="https://it.finance.yahoo.com/quote/ISP.MI/" TargetMode="External"/><Relationship Id="rId2" Type="http://schemas.openxmlformats.org/officeDocument/2006/relationships/hyperlink" Target="https://finance.yahoo.com/quote/0P0001022J/" TargetMode="External"/><Relationship Id="rId16" Type="http://schemas.openxmlformats.org/officeDocument/2006/relationships/hyperlink" Target="https://it.finance.yahoo.com/quote/ENI.MI/" TargetMode="External"/><Relationship Id="rId20" Type="http://schemas.openxmlformats.org/officeDocument/2006/relationships/hyperlink" Target="https://it.finance.yahoo.com/quote/G.MI/" TargetMode="External"/><Relationship Id="rId29" Type="http://schemas.openxmlformats.org/officeDocument/2006/relationships/hyperlink" Target="https://it.finance.yahoo.com/quote/TIT.MI/" TargetMode="External"/><Relationship Id="rId1" Type="http://schemas.openxmlformats.org/officeDocument/2006/relationships/hyperlink" Target="https://finance.yahoo.com/quote/UIQ4.DE/" TargetMode="External"/><Relationship Id="rId6" Type="http://schemas.openxmlformats.org/officeDocument/2006/relationships/hyperlink" Target="https://it.finance.yahoo.com/quote/SPM.MI/" TargetMode="External"/><Relationship Id="rId11" Type="http://schemas.openxmlformats.org/officeDocument/2006/relationships/hyperlink" Target="https://it.finance.yahoo.com/quote/UNI.MI/" TargetMode="External"/><Relationship Id="rId24" Type="http://schemas.openxmlformats.org/officeDocument/2006/relationships/hyperlink" Target="https://it.finance.yahoo.com/quote/LTMC.MI/" TargetMode="External"/><Relationship Id="rId5" Type="http://schemas.openxmlformats.org/officeDocument/2006/relationships/hyperlink" Target="https://it.finance.yahoo.com/quote/BPE.MI/" TargetMode="External"/><Relationship Id="rId15" Type="http://schemas.openxmlformats.org/officeDocument/2006/relationships/hyperlink" Target="https://it.finance.yahoo.com/quote/RACE.MI/" TargetMode="External"/><Relationship Id="rId23" Type="http://schemas.openxmlformats.org/officeDocument/2006/relationships/hyperlink" Target="https://it.finance.yahoo.com/quote/MB.MI/" TargetMode="External"/><Relationship Id="rId28" Type="http://schemas.openxmlformats.org/officeDocument/2006/relationships/hyperlink" Target="https://it.finance.yahoo.com/quote/LDO.MI/" TargetMode="External"/><Relationship Id="rId10" Type="http://schemas.openxmlformats.org/officeDocument/2006/relationships/hyperlink" Target="https://it.finance.yahoo.com/quote/MONC.MI/" TargetMode="External"/><Relationship Id="rId19" Type="http://schemas.openxmlformats.org/officeDocument/2006/relationships/hyperlink" Target="https://it.finance.yahoo.com/quote/BZU.MI/" TargetMode="External"/><Relationship Id="rId31" Type="http://schemas.openxmlformats.org/officeDocument/2006/relationships/hyperlink" Target="https://it.finance.yahoo.com/quote/FBK.MI/" TargetMode="External"/><Relationship Id="rId4" Type="http://schemas.openxmlformats.org/officeDocument/2006/relationships/hyperlink" Target="https://it.finance.yahoo.com/quote/PRY.MI/" TargetMode="External"/><Relationship Id="rId9" Type="http://schemas.openxmlformats.org/officeDocument/2006/relationships/hyperlink" Target="https://it.finance.yahoo.com/quote/BAMI.MI/" TargetMode="External"/><Relationship Id="rId14" Type="http://schemas.openxmlformats.org/officeDocument/2006/relationships/hyperlink" Target="https://it.finance.yahoo.com/quote/AMP.MI/" TargetMode="External"/><Relationship Id="rId22" Type="http://schemas.openxmlformats.org/officeDocument/2006/relationships/hyperlink" Target="https://it.finance.yahoo.com/quote/CPR.MI/" TargetMode="External"/><Relationship Id="rId27" Type="http://schemas.openxmlformats.org/officeDocument/2006/relationships/hyperlink" Target="https://it.finance.yahoo.com/quote/BMED.MI/" TargetMode="External"/><Relationship Id="rId30" Type="http://schemas.openxmlformats.org/officeDocument/2006/relationships/hyperlink" Target="https://it.finance.yahoo.com/quote/AZM.MI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UIQ4.DE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0P0001022J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7" Type="http://schemas.openxmlformats.org/officeDocument/2006/relationships/hyperlink" Target="https://www.lazyportfolioetf.com/etf/spdr-gold-trust-gld/" TargetMode="External"/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5" Type="http://schemas.openxmlformats.org/officeDocument/2006/relationships/hyperlink" Target="https://www.lazyportfolioetf.com/etf/ishares-3-7-year-treasury-bond-iei/" TargetMode="External"/><Relationship Id="rId10" Type="http://schemas.openxmlformats.org/officeDocument/2006/relationships/hyperlink" Target="https://www.lazyportfolioetf.com/etf/ishares-sp-gsci-commodity-indexed-trust-gsg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13" Type="http://schemas.openxmlformats.org/officeDocument/2006/relationships/hyperlink" Target="https://www.lazyportfolioetf.com/etf/vanguard-total-stock-market-vti/" TargetMode="External"/><Relationship Id="rId1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21" Type="http://schemas.openxmlformats.org/officeDocument/2006/relationships/hyperlink" Target="https://www.lazyportfolioetf.com/etf/ishares-sp-gsci-commodity-indexed-trust-gsg/" TargetMode="External"/><Relationship Id="rId7" Type="http://schemas.openxmlformats.org/officeDocument/2006/relationships/hyperlink" Target="https://www.lazyportfolioetf.com/etf/spdr-gold-trust-gld/" TargetMode="External"/><Relationship Id="rId12" Type="http://schemas.openxmlformats.org/officeDocument/2006/relationships/hyperlink" Target="https://www.lazyportfolioetf.com/etf/vanguard-total-stock-market-vti/" TargetMode="External"/><Relationship Id="rId17" Type="http://schemas.openxmlformats.org/officeDocument/2006/relationships/hyperlink" Target="https://www.lazyportfolioetf.com/etf/ishares-3-7-year-treasury-bond-iei/" TargetMode="External"/><Relationship Id="rId2" Type="http://schemas.openxmlformats.org/officeDocument/2006/relationships/hyperlink" Target="https://www.lazyportfolioetf.com/etf/vanguard-total-stock-market-vti/" TargetMode="External"/><Relationship Id="rId16" Type="http://schemas.openxmlformats.org/officeDocument/2006/relationships/hyperlink" Target="https://www.lazyportfolioetf.com/etf/ishares-3-7-year-treasury-bond-iei/" TargetMode="External"/><Relationship Id="rId20" Type="http://schemas.openxmlformats.org/officeDocument/2006/relationships/hyperlink" Target="https://www.lazyportfolioetf.com/etf/ishares-sp-gsci-commodity-indexed-trust-gsg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24" Type="http://schemas.openxmlformats.org/officeDocument/2006/relationships/hyperlink" Target="https://www.lazyportfolioetf.com/etf/vanguard-total-stock-market-vti/" TargetMode="External"/><Relationship Id="rId5" Type="http://schemas.openxmlformats.org/officeDocument/2006/relationships/hyperlink" Target="https://www.lazyportfolioetf.com/etf/ishares-3-7-year-treasury-bond-iei/" TargetMode="External"/><Relationship Id="rId15" Type="http://schemas.openxmlformats.org/officeDocument/2006/relationships/hyperlink" Target="https://www.lazyportfolioetf.com/etf/ishares-20-year-treasury-bond/" TargetMode="External"/><Relationship Id="rId23" Type="http://schemas.openxmlformats.org/officeDocument/2006/relationships/hyperlink" Target="https://www.lazyportfolioetf.com/etf/vanguard-total-stock-market-vti/" TargetMode="External"/><Relationship Id="rId10" Type="http://schemas.openxmlformats.org/officeDocument/2006/relationships/hyperlink" Target="https://www.lazyportfolioetf.com/etf/ishares-sp-gsci-commodity-indexed-trust-gsg/" TargetMode="External"/><Relationship Id="rId19" Type="http://schemas.openxmlformats.org/officeDocument/2006/relationships/hyperlink" Target="https://www.lazyportfolioetf.com/etf/spdr-gold-trust-gld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Relationship Id="rId14" Type="http://schemas.openxmlformats.org/officeDocument/2006/relationships/hyperlink" Target="https://www.lazyportfolioetf.com/etf/ishares-20-year-treasury-bond/" TargetMode="External"/><Relationship Id="rId22" Type="http://schemas.openxmlformats.org/officeDocument/2006/relationships/hyperlink" Target="https://www.lazyportfolioetf.com/etf/ishares-1-3-year-treasury-bond-shy/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ishares-sp-gsci-commodity-indexed-trust-gsg/" TargetMode="External"/><Relationship Id="rId3" Type="http://schemas.openxmlformats.org/officeDocument/2006/relationships/hyperlink" Target="https://www.lazyportfolioetf.com/etf/ishares-3-7-year-treasury-bond-iei/" TargetMode="External"/><Relationship Id="rId7" Type="http://schemas.openxmlformats.org/officeDocument/2006/relationships/hyperlink" Target="https://www.lazyportfolioetf.com/etf/ishares-sp-gsci-commodity-indexed-trust-gsg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lazyportfolioetf.com/etf/ishares-20-year-treasury-bond/" TargetMode="External"/><Relationship Id="rId1" Type="http://schemas.openxmlformats.org/officeDocument/2006/relationships/hyperlink" Target="https://www.lazyportfolioetf.com/etf/ishares-20-year-treasury-bond/" TargetMode="External"/><Relationship Id="rId6" Type="http://schemas.openxmlformats.org/officeDocument/2006/relationships/hyperlink" Target="https://www.lazyportfolioetf.com/etf/spdr-gold-trust-gld/" TargetMode="External"/><Relationship Id="rId11" Type="http://schemas.openxmlformats.org/officeDocument/2006/relationships/hyperlink" Target="https://www.lazyportfolioetf.com/etf/vanguard-total-stock-market-vti/" TargetMode="External"/><Relationship Id="rId5" Type="http://schemas.openxmlformats.org/officeDocument/2006/relationships/hyperlink" Target="https://www.lazyportfolioetf.com/etf/spdr-gold-trust-gld/" TargetMode="External"/><Relationship Id="rId10" Type="http://schemas.openxmlformats.org/officeDocument/2006/relationships/hyperlink" Target="https://www.lazyportfolioetf.com/etf/vanguard-total-stock-market-vti/" TargetMode="External"/><Relationship Id="rId4" Type="http://schemas.openxmlformats.org/officeDocument/2006/relationships/hyperlink" Target="https://www.lazyportfolioetf.com/etf/ishares-3-7-year-treasury-bond-iei/" TargetMode="External"/><Relationship Id="rId9" Type="http://schemas.openxmlformats.org/officeDocument/2006/relationships/hyperlink" Target="https://www.lazyportfolioetf.com/etf/ishares-1-3-year-treasury-bond-shy/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DOGE-USD" TargetMode="External"/><Relationship Id="rId13" Type="http://schemas.openxmlformats.org/officeDocument/2006/relationships/hyperlink" Target="https://finance.yahoo.com/quote/BCH-USD" TargetMode="External"/><Relationship Id="rId18" Type="http://schemas.openxmlformats.org/officeDocument/2006/relationships/hyperlink" Target="https://finance.yahoo.com/quote/LINK-USD" TargetMode="External"/><Relationship Id="rId3" Type="http://schemas.openxmlformats.org/officeDocument/2006/relationships/hyperlink" Target="https://finance.yahoo.com/quote/BNB-USD" TargetMode="External"/><Relationship Id="rId21" Type="http://schemas.openxmlformats.org/officeDocument/2006/relationships/hyperlink" Target="https://finance.yahoo.com/quote/ICP-USD" TargetMode="External"/><Relationship Id="rId7" Type="http://schemas.openxmlformats.org/officeDocument/2006/relationships/hyperlink" Target="https://finance.yahoo.com/quote/USDC-USD" TargetMode="External"/><Relationship Id="rId12" Type="http://schemas.openxmlformats.org/officeDocument/2006/relationships/hyperlink" Target="https://finance.yahoo.com/quote/SHIB-USD" TargetMode="External"/><Relationship Id="rId17" Type="http://schemas.openxmlformats.org/officeDocument/2006/relationships/hyperlink" Target="https://finance.yahoo.com/quote/WTRX-USD" TargetMode="External"/><Relationship Id="rId2" Type="http://schemas.openxmlformats.org/officeDocument/2006/relationships/hyperlink" Target="https://finance.yahoo.com/quote/USDT-USD" TargetMode="External"/><Relationship Id="rId16" Type="http://schemas.openxmlformats.org/officeDocument/2006/relationships/hyperlink" Target="https://finance.yahoo.com/quote/TRX-USD" TargetMode="External"/><Relationship Id="rId20" Type="http://schemas.openxmlformats.org/officeDocument/2006/relationships/hyperlink" Target="https://finance.yahoo.com/quote/NEAR-USD" TargetMode="External"/><Relationship Id="rId1" Type="http://schemas.openxmlformats.org/officeDocument/2006/relationships/hyperlink" Target="https://finance.yahoo.com/quote/ETH-USD" TargetMode="External"/><Relationship Id="rId6" Type="http://schemas.openxmlformats.org/officeDocument/2006/relationships/hyperlink" Target="https://finance.yahoo.com/quote/XRP-USD" TargetMode="External"/><Relationship Id="rId11" Type="http://schemas.openxmlformats.org/officeDocument/2006/relationships/hyperlink" Target="https://finance.yahoo.com/quote/AVAX-USD" TargetMode="External"/><Relationship Id="rId5" Type="http://schemas.openxmlformats.org/officeDocument/2006/relationships/hyperlink" Target="https://finance.yahoo.com/quote/STETH-USD" TargetMode="External"/><Relationship Id="rId15" Type="http://schemas.openxmlformats.org/officeDocument/2006/relationships/hyperlink" Target="https://finance.yahoo.com/quote/WBTC-USD" TargetMode="External"/><Relationship Id="rId23" Type="http://schemas.openxmlformats.org/officeDocument/2006/relationships/hyperlink" Target="https://finance.yahoo.com/quote/BTC-USD" TargetMode="External"/><Relationship Id="rId10" Type="http://schemas.openxmlformats.org/officeDocument/2006/relationships/hyperlink" Target="https://finance.yahoo.com/quote/ADA-USD" TargetMode="External"/><Relationship Id="rId19" Type="http://schemas.openxmlformats.org/officeDocument/2006/relationships/hyperlink" Target="https://finance.yahoo.com/quote/MATIC-USD" TargetMode="External"/><Relationship Id="rId4" Type="http://schemas.openxmlformats.org/officeDocument/2006/relationships/hyperlink" Target="https://finance.yahoo.com/quote/SOL-USD" TargetMode="External"/><Relationship Id="rId9" Type="http://schemas.openxmlformats.org/officeDocument/2006/relationships/hyperlink" Target="https://finance.yahoo.com/quote/TON11419-USD" TargetMode="External"/><Relationship Id="rId14" Type="http://schemas.openxmlformats.org/officeDocument/2006/relationships/hyperlink" Target="https://finance.yahoo.com/quote/DOT-USD" TargetMode="External"/><Relationship Id="rId22" Type="http://schemas.openxmlformats.org/officeDocument/2006/relationships/hyperlink" Target="https://finance.yahoo.com/quote/LTC-USD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ustetf.com/it/etf-profile.html?isin=LU0380865021" TargetMode="External"/><Relationship Id="rId2" Type="http://schemas.openxmlformats.org/officeDocument/2006/relationships/hyperlink" Target="https://www.justetf.com/it/etf-profile.html?isin=IE00B3WJKG14" TargetMode="External"/><Relationship Id="rId1" Type="http://schemas.openxmlformats.org/officeDocument/2006/relationships/hyperlink" Target="https://www.justetf.com/it/etf-profile.html?isin=IE00B4L5Y983" TargetMode="External"/><Relationship Id="rId6" Type="http://schemas.openxmlformats.org/officeDocument/2006/relationships/hyperlink" Target="https://www.justetf.com/it/etf-profile.html?query=ultrashort&amp;groupField=none&amp;sortField=fundSize&amp;sortOrder=desc&amp;assetClass=class-bonds&amp;currency=EUR&amp;from=search&amp;isin=IE00BCRY6557" TargetMode="External"/><Relationship Id="rId5" Type="http://schemas.openxmlformats.org/officeDocument/2006/relationships/hyperlink" Target="https://www.justetf.com/it/etf-profile.html?isin=IE00B4WXJJ64" TargetMode="External"/><Relationship Id="rId4" Type="http://schemas.openxmlformats.org/officeDocument/2006/relationships/hyperlink" Target="https://www.justetf.com/it/etf-profile.html?isin=IE00BDBRDM35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ataroma.com/m/stock.php?sym=FND" TargetMode="External"/><Relationship Id="rId21" Type="http://schemas.openxmlformats.org/officeDocument/2006/relationships/hyperlink" Target="https://www.dataroma.com/m/stock.php?sym=VRSN" TargetMode="External"/><Relationship Id="rId42" Type="http://schemas.openxmlformats.org/officeDocument/2006/relationships/hyperlink" Target="https://www.dataroma.com/m/hist/hist.php?f=BRK&amp;s=SNOW" TargetMode="External"/><Relationship Id="rId63" Type="http://schemas.openxmlformats.org/officeDocument/2006/relationships/hyperlink" Target="https://www.dataroma.com/m/stock.php?sym=MKL" TargetMode="External"/><Relationship Id="rId84" Type="http://schemas.openxmlformats.org/officeDocument/2006/relationships/hyperlink" Target="https://www.dataroma.com/m/hist/hist.php?f=BRK&amp;s=BATRK" TargetMode="External"/><Relationship Id="rId16" Type="http://schemas.openxmlformats.org/officeDocument/2006/relationships/hyperlink" Target="https://www.dataroma.com/m/hist/hist.php?f=BRK&amp;s=DVA" TargetMode="External"/><Relationship Id="rId107" Type="http://schemas.openxmlformats.org/officeDocument/2006/relationships/hyperlink" Target="https://www.dataroma.com/m/stock.php?sym=COF" TargetMode="External"/><Relationship Id="rId11" Type="http://schemas.openxmlformats.org/officeDocument/2006/relationships/hyperlink" Target="https://www.dataroma.com/m/stock.php?sym=OXY" TargetMode="External"/><Relationship Id="rId32" Type="http://schemas.openxmlformats.org/officeDocument/2006/relationships/hyperlink" Target="https://www.dataroma.com/m/hist/hist.php?f=BRK&amp;s=AON" TargetMode="External"/><Relationship Id="rId37" Type="http://schemas.openxmlformats.org/officeDocument/2006/relationships/hyperlink" Target="https://www.dataroma.com/m/stock.php?sym=COF" TargetMode="External"/><Relationship Id="rId53" Type="http://schemas.openxmlformats.org/officeDocument/2006/relationships/hyperlink" Target="https://www.dataroma.com/m/stock.php?sym=LSXMA" TargetMode="External"/><Relationship Id="rId58" Type="http://schemas.openxmlformats.org/officeDocument/2006/relationships/hyperlink" Target="https://www.dataroma.com/m/hist/hist.php?f=BRK&amp;s=LPX" TargetMode="External"/><Relationship Id="rId74" Type="http://schemas.openxmlformats.org/officeDocument/2006/relationships/hyperlink" Target="https://www.dataroma.com/m/hist/hist.php?f=BRK&amp;s=JEF" TargetMode="External"/><Relationship Id="rId79" Type="http://schemas.openxmlformats.org/officeDocument/2006/relationships/hyperlink" Target="https://www.dataroma.com/m/stock.php?sym=SIRI" TargetMode="External"/><Relationship Id="rId102" Type="http://schemas.openxmlformats.org/officeDocument/2006/relationships/hyperlink" Target="https://www.dataroma.com/m/stock.php?sym=V" TargetMode="External"/><Relationship Id="rId123" Type="http://schemas.openxmlformats.org/officeDocument/2006/relationships/hyperlink" Target="https://www.dataroma.com/m/stock.php?sym=GL" TargetMode="External"/><Relationship Id="rId128" Type="http://schemas.openxmlformats.org/officeDocument/2006/relationships/hyperlink" Target="https://www.dataroma.com/m/stock.php?sym=SIRI" TargetMode="External"/><Relationship Id="rId5" Type="http://schemas.openxmlformats.org/officeDocument/2006/relationships/hyperlink" Target="https://www.dataroma.com/m/stock.php?sym=AXP" TargetMode="External"/><Relationship Id="rId90" Type="http://schemas.openxmlformats.org/officeDocument/2006/relationships/hyperlink" Target="https://www.dataroma.com/m/stock.php?sym=BAC" TargetMode="External"/><Relationship Id="rId95" Type="http://schemas.openxmlformats.org/officeDocument/2006/relationships/hyperlink" Target="https://www.dataroma.com/m/stock.php?sym=KHC" TargetMode="External"/><Relationship Id="rId22" Type="http://schemas.openxmlformats.org/officeDocument/2006/relationships/hyperlink" Target="https://www.dataroma.com/m/hist/hist.php?f=BRK&amp;s=C" TargetMode="External"/><Relationship Id="rId27" Type="http://schemas.openxmlformats.org/officeDocument/2006/relationships/hyperlink" Target="https://www.dataroma.com/m/stock.php?sym=V" TargetMode="External"/><Relationship Id="rId43" Type="http://schemas.openxmlformats.org/officeDocument/2006/relationships/hyperlink" Target="https://www.dataroma.com/m/stock.php?sym=SNOW" TargetMode="External"/><Relationship Id="rId48" Type="http://schemas.openxmlformats.org/officeDocument/2006/relationships/hyperlink" Target="https://www.dataroma.com/m/hist/hist.php?f=BRK&amp;s=TMUS" TargetMode="External"/><Relationship Id="rId64" Type="http://schemas.openxmlformats.org/officeDocument/2006/relationships/hyperlink" Target="https://www.dataroma.com/m/hist/hist.php?f=BRK&amp;s=LLYVA" TargetMode="External"/><Relationship Id="rId69" Type="http://schemas.openxmlformats.org/officeDocument/2006/relationships/hyperlink" Target="https://www.dataroma.com/m/stock.php?sym=GL" TargetMode="External"/><Relationship Id="rId113" Type="http://schemas.openxmlformats.org/officeDocument/2006/relationships/hyperlink" Target="https://www.dataroma.com/m/stock.php?sym=TMUS" TargetMode="External"/><Relationship Id="rId118" Type="http://schemas.openxmlformats.org/officeDocument/2006/relationships/hyperlink" Target="https://www.dataroma.com/m/stock.php?sym=LPX" TargetMode="External"/><Relationship Id="rId80" Type="http://schemas.openxmlformats.org/officeDocument/2006/relationships/hyperlink" Target="https://www.dataroma.com/m/hist/hist.php?f=BRK&amp;s=SPY" TargetMode="External"/><Relationship Id="rId85" Type="http://schemas.openxmlformats.org/officeDocument/2006/relationships/hyperlink" Target="https://www.dataroma.com/m/stock.php?sym=BATRK" TargetMode="External"/><Relationship Id="rId12" Type="http://schemas.openxmlformats.org/officeDocument/2006/relationships/hyperlink" Target="https://www.dataroma.com/m/hist/hist.php?f=BRK&amp;s=KHC" TargetMode="External"/><Relationship Id="rId17" Type="http://schemas.openxmlformats.org/officeDocument/2006/relationships/hyperlink" Target="https://www.dataroma.com/m/stock.php?sym=DVA" TargetMode="External"/><Relationship Id="rId33" Type="http://schemas.openxmlformats.org/officeDocument/2006/relationships/hyperlink" Target="https://www.dataroma.com/m/stock.php?sym=AON" TargetMode="External"/><Relationship Id="rId38" Type="http://schemas.openxmlformats.org/officeDocument/2006/relationships/hyperlink" Target="https://www.dataroma.com/m/hist/hist.php?f=BRK&amp;s=PARA" TargetMode="External"/><Relationship Id="rId59" Type="http://schemas.openxmlformats.org/officeDocument/2006/relationships/hyperlink" Target="https://www.dataroma.com/m/stock.php?sym=LPX" TargetMode="External"/><Relationship Id="rId103" Type="http://schemas.openxmlformats.org/officeDocument/2006/relationships/hyperlink" Target="https://www.dataroma.com/m/stock.php?sym=CHTR" TargetMode="External"/><Relationship Id="rId108" Type="http://schemas.openxmlformats.org/officeDocument/2006/relationships/hyperlink" Target="https://www.dataroma.com/m/stock.php?sym=PARA" TargetMode="External"/><Relationship Id="rId124" Type="http://schemas.openxmlformats.org/officeDocument/2006/relationships/hyperlink" Target="https://www.dataroma.com/m/stock.php?sym=NVR" TargetMode="External"/><Relationship Id="rId129" Type="http://schemas.openxmlformats.org/officeDocument/2006/relationships/hyperlink" Target="https://www.dataroma.com/m/stock.php?sym=SPY" TargetMode="External"/><Relationship Id="rId54" Type="http://schemas.openxmlformats.org/officeDocument/2006/relationships/hyperlink" Target="https://www.dataroma.com/m/hist/hist.php?f=BRK&amp;s=FWONK" TargetMode="External"/><Relationship Id="rId70" Type="http://schemas.openxmlformats.org/officeDocument/2006/relationships/hyperlink" Target="https://www.dataroma.com/m/hist/hist.php?f=BRK&amp;s=NVR" TargetMode="External"/><Relationship Id="rId75" Type="http://schemas.openxmlformats.org/officeDocument/2006/relationships/hyperlink" Target="https://www.dataroma.com/m/stock.php?sym=JEF" TargetMode="External"/><Relationship Id="rId91" Type="http://schemas.openxmlformats.org/officeDocument/2006/relationships/hyperlink" Target="https://www.dataroma.com/m/stock.php?sym=AXP" TargetMode="External"/><Relationship Id="rId96" Type="http://schemas.openxmlformats.org/officeDocument/2006/relationships/hyperlink" Target="https://www.dataroma.com/m/stock.php?sym=MCO" TargetMode="External"/><Relationship Id="rId1" Type="http://schemas.openxmlformats.org/officeDocument/2006/relationships/hyperlink" Target="https://www.dataroma.com/m/stock.php?sym=AAPL" TargetMode="External"/><Relationship Id="rId6" Type="http://schemas.openxmlformats.org/officeDocument/2006/relationships/hyperlink" Target="https://www.dataroma.com/m/hist/hist.php?f=BRK&amp;s=KO" TargetMode="External"/><Relationship Id="rId23" Type="http://schemas.openxmlformats.org/officeDocument/2006/relationships/hyperlink" Target="https://www.dataroma.com/m/stock.php?sym=C" TargetMode="External"/><Relationship Id="rId28" Type="http://schemas.openxmlformats.org/officeDocument/2006/relationships/hyperlink" Target="https://www.dataroma.com/m/hist/hist.php?f=BRK&amp;s=CHTR" TargetMode="External"/><Relationship Id="rId49" Type="http://schemas.openxmlformats.org/officeDocument/2006/relationships/hyperlink" Target="https://www.dataroma.com/m/stock.php?sym=TMUS" TargetMode="External"/><Relationship Id="rId114" Type="http://schemas.openxmlformats.org/officeDocument/2006/relationships/hyperlink" Target="https://www.dataroma.com/m/stock.php?sym=DHI" TargetMode="External"/><Relationship Id="rId119" Type="http://schemas.openxmlformats.org/officeDocument/2006/relationships/hyperlink" Target="https://www.dataroma.com/m/stock.php?sym=LLYVK" TargetMode="External"/><Relationship Id="rId44" Type="http://schemas.openxmlformats.org/officeDocument/2006/relationships/hyperlink" Target="https://www.dataroma.com/m/hist/hist.php?f=BRK&amp;s=ALLY" TargetMode="External"/><Relationship Id="rId60" Type="http://schemas.openxmlformats.org/officeDocument/2006/relationships/hyperlink" Target="https://www.dataroma.com/m/hist/hist.php?f=BRK&amp;s=LLYVK" TargetMode="External"/><Relationship Id="rId65" Type="http://schemas.openxmlformats.org/officeDocument/2006/relationships/hyperlink" Target="https://www.dataroma.com/m/stock.php?sym=LLYVA" TargetMode="External"/><Relationship Id="rId81" Type="http://schemas.openxmlformats.org/officeDocument/2006/relationships/hyperlink" Target="https://www.dataroma.com/m/stock.php?sym=SPY" TargetMode="External"/><Relationship Id="rId86" Type="http://schemas.openxmlformats.org/officeDocument/2006/relationships/hyperlink" Target="https://www.dataroma.com/m/hist/hist.php?f=BRK&amp;s=LEN.B" TargetMode="External"/><Relationship Id="rId130" Type="http://schemas.openxmlformats.org/officeDocument/2006/relationships/hyperlink" Target="https://www.dataroma.com/m/stock.php?sym=VOO" TargetMode="External"/><Relationship Id="rId13" Type="http://schemas.openxmlformats.org/officeDocument/2006/relationships/hyperlink" Target="https://www.dataroma.com/m/stock.php?sym=KHC" TargetMode="External"/><Relationship Id="rId18" Type="http://schemas.openxmlformats.org/officeDocument/2006/relationships/hyperlink" Target="https://www.dataroma.com/m/hist/hist.php?f=BRK&amp;s=HPQ" TargetMode="External"/><Relationship Id="rId39" Type="http://schemas.openxmlformats.org/officeDocument/2006/relationships/hyperlink" Target="https://www.dataroma.com/m/stock.php?sym=PARA" TargetMode="External"/><Relationship Id="rId109" Type="http://schemas.openxmlformats.org/officeDocument/2006/relationships/hyperlink" Target="https://www.dataroma.com/m/stock.php?sym=LSXMK" TargetMode="External"/><Relationship Id="rId34" Type="http://schemas.openxmlformats.org/officeDocument/2006/relationships/hyperlink" Target="https://www.dataroma.com/m/hist/hist.php?f=BRK&amp;s=AMZN" TargetMode="External"/><Relationship Id="rId50" Type="http://schemas.openxmlformats.org/officeDocument/2006/relationships/hyperlink" Target="https://www.dataroma.com/m/hist/hist.php?f=BRK&amp;s=DHI" TargetMode="External"/><Relationship Id="rId55" Type="http://schemas.openxmlformats.org/officeDocument/2006/relationships/hyperlink" Target="https://www.dataroma.com/m/stock.php?sym=FWONK" TargetMode="External"/><Relationship Id="rId76" Type="http://schemas.openxmlformats.org/officeDocument/2006/relationships/hyperlink" Target="https://www.dataroma.com/m/hist/hist.php?f=BRK&amp;s=LILA" TargetMode="External"/><Relationship Id="rId97" Type="http://schemas.openxmlformats.org/officeDocument/2006/relationships/hyperlink" Target="https://www.dataroma.com/m/stock.php?sym=DVA" TargetMode="External"/><Relationship Id="rId104" Type="http://schemas.openxmlformats.org/officeDocument/2006/relationships/hyperlink" Target="https://www.dataroma.com/m/stock.php?sym=MA" TargetMode="External"/><Relationship Id="rId120" Type="http://schemas.openxmlformats.org/officeDocument/2006/relationships/hyperlink" Target="https://www.dataroma.com/m/stock.php?sym=MKL" TargetMode="External"/><Relationship Id="rId125" Type="http://schemas.openxmlformats.org/officeDocument/2006/relationships/hyperlink" Target="https://www.dataroma.com/m/stock.php?sym=DEO" TargetMode="External"/><Relationship Id="rId7" Type="http://schemas.openxmlformats.org/officeDocument/2006/relationships/hyperlink" Target="https://www.dataroma.com/m/stock.php?sym=KO" TargetMode="External"/><Relationship Id="rId71" Type="http://schemas.openxmlformats.org/officeDocument/2006/relationships/hyperlink" Target="https://www.dataroma.com/m/stock.php?sym=NVR" TargetMode="External"/><Relationship Id="rId92" Type="http://schemas.openxmlformats.org/officeDocument/2006/relationships/hyperlink" Target="https://www.dataroma.com/m/stock.php?sym=KO" TargetMode="External"/><Relationship Id="rId2" Type="http://schemas.openxmlformats.org/officeDocument/2006/relationships/hyperlink" Target="https://www.dataroma.com/m/hist/hist.php?f=BRK&amp;s=BAC" TargetMode="External"/><Relationship Id="rId29" Type="http://schemas.openxmlformats.org/officeDocument/2006/relationships/hyperlink" Target="https://www.dataroma.com/m/stock.php?sym=CHTR" TargetMode="External"/><Relationship Id="rId24" Type="http://schemas.openxmlformats.org/officeDocument/2006/relationships/hyperlink" Target="https://www.dataroma.com/m/hist/hist.php?f=BRK&amp;s=KR" TargetMode="External"/><Relationship Id="rId40" Type="http://schemas.openxmlformats.org/officeDocument/2006/relationships/hyperlink" Target="https://www.dataroma.com/m/hist/hist.php?f=BRK&amp;s=LSXMK" TargetMode="External"/><Relationship Id="rId45" Type="http://schemas.openxmlformats.org/officeDocument/2006/relationships/hyperlink" Target="https://www.dataroma.com/m/stock.php?sym=ALLY" TargetMode="External"/><Relationship Id="rId66" Type="http://schemas.openxmlformats.org/officeDocument/2006/relationships/hyperlink" Target="https://www.dataroma.com/m/hist/hist.php?f=BRK&amp;s=STNE" TargetMode="External"/><Relationship Id="rId87" Type="http://schemas.openxmlformats.org/officeDocument/2006/relationships/hyperlink" Target="https://www.dataroma.com/m/stock.php?sym=LEN.B" TargetMode="External"/><Relationship Id="rId110" Type="http://schemas.openxmlformats.org/officeDocument/2006/relationships/hyperlink" Target="https://www.dataroma.com/m/stock.php?sym=SNOW" TargetMode="External"/><Relationship Id="rId115" Type="http://schemas.openxmlformats.org/officeDocument/2006/relationships/hyperlink" Target="https://www.dataroma.com/m/stock.php?sym=LSXMA" TargetMode="External"/><Relationship Id="rId131" Type="http://schemas.openxmlformats.org/officeDocument/2006/relationships/hyperlink" Target="https://www.dataroma.com/m/stock.php?sym=BATRK" TargetMode="External"/><Relationship Id="rId61" Type="http://schemas.openxmlformats.org/officeDocument/2006/relationships/hyperlink" Target="https://www.dataroma.com/m/stock.php?sym=LLYVK" TargetMode="External"/><Relationship Id="rId82" Type="http://schemas.openxmlformats.org/officeDocument/2006/relationships/hyperlink" Target="https://www.dataroma.com/m/hist/hist.php?f=BRK&amp;s=VOO" TargetMode="External"/><Relationship Id="rId19" Type="http://schemas.openxmlformats.org/officeDocument/2006/relationships/hyperlink" Target="https://www.dataroma.com/m/stock.php?sym=HPQ" TargetMode="External"/><Relationship Id="rId14" Type="http://schemas.openxmlformats.org/officeDocument/2006/relationships/hyperlink" Target="https://www.dataroma.com/m/hist/hist.php?f=BRK&amp;s=MCO" TargetMode="External"/><Relationship Id="rId30" Type="http://schemas.openxmlformats.org/officeDocument/2006/relationships/hyperlink" Target="https://www.dataroma.com/m/hist/hist.php?f=BRK&amp;s=MA" TargetMode="External"/><Relationship Id="rId35" Type="http://schemas.openxmlformats.org/officeDocument/2006/relationships/hyperlink" Target="https://www.dataroma.com/m/stock.php?sym=AMZN" TargetMode="External"/><Relationship Id="rId56" Type="http://schemas.openxmlformats.org/officeDocument/2006/relationships/hyperlink" Target="https://www.dataroma.com/m/hist/hist.php?f=BRK&amp;s=FND" TargetMode="External"/><Relationship Id="rId77" Type="http://schemas.openxmlformats.org/officeDocument/2006/relationships/hyperlink" Target="https://www.dataroma.com/m/stock.php?sym=LILA" TargetMode="External"/><Relationship Id="rId100" Type="http://schemas.openxmlformats.org/officeDocument/2006/relationships/hyperlink" Target="https://www.dataroma.com/m/stock.php?sym=C" TargetMode="External"/><Relationship Id="rId105" Type="http://schemas.openxmlformats.org/officeDocument/2006/relationships/hyperlink" Target="https://www.dataroma.com/m/stock.php?sym=AON" TargetMode="External"/><Relationship Id="rId126" Type="http://schemas.openxmlformats.org/officeDocument/2006/relationships/hyperlink" Target="https://www.dataroma.com/m/stock.php?sym=JEF" TargetMode="External"/><Relationship Id="rId8" Type="http://schemas.openxmlformats.org/officeDocument/2006/relationships/hyperlink" Target="https://www.dataroma.com/m/hist/hist.php?f=BRK&amp;s=CVX" TargetMode="External"/><Relationship Id="rId51" Type="http://schemas.openxmlformats.org/officeDocument/2006/relationships/hyperlink" Target="https://www.dataroma.com/m/stock.php?sym=DHI" TargetMode="External"/><Relationship Id="rId72" Type="http://schemas.openxmlformats.org/officeDocument/2006/relationships/hyperlink" Target="https://www.dataroma.com/m/hist/hist.php?f=BRK&amp;s=DEO" TargetMode="External"/><Relationship Id="rId93" Type="http://schemas.openxmlformats.org/officeDocument/2006/relationships/hyperlink" Target="https://www.dataroma.com/m/stock.php?sym=CVX" TargetMode="External"/><Relationship Id="rId98" Type="http://schemas.openxmlformats.org/officeDocument/2006/relationships/hyperlink" Target="https://www.dataroma.com/m/stock.php?sym=HPQ" TargetMode="External"/><Relationship Id="rId121" Type="http://schemas.openxmlformats.org/officeDocument/2006/relationships/hyperlink" Target="https://www.dataroma.com/m/stock.php?sym=LLYVA" TargetMode="External"/><Relationship Id="rId3" Type="http://schemas.openxmlformats.org/officeDocument/2006/relationships/hyperlink" Target="https://www.dataroma.com/m/stock.php?sym=BAC" TargetMode="External"/><Relationship Id="rId25" Type="http://schemas.openxmlformats.org/officeDocument/2006/relationships/hyperlink" Target="https://www.dataroma.com/m/stock.php?sym=KR" TargetMode="External"/><Relationship Id="rId46" Type="http://schemas.openxmlformats.org/officeDocument/2006/relationships/hyperlink" Target="https://www.dataroma.com/m/hist/hist.php?f=BRK&amp;s=NU" TargetMode="External"/><Relationship Id="rId67" Type="http://schemas.openxmlformats.org/officeDocument/2006/relationships/hyperlink" Target="https://www.dataroma.com/m/stock.php?sym=STNE" TargetMode="External"/><Relationship Id="rId116" Type="http://schemas.openxmlformats.org/officeDocument/2006/relationships/hyperlink" Target="https://www.dataroma.com/m/stock.php?sym=FWONK" TargetMode="External"/><Relationship Id="rId20" Type="http://schemas.openxmlformats.org/officeDocument/2006/relationships/hyperlink" Target="https://www.dataroma.com/m/hist/hist.php?f=BRK&amp;s=VRSN" TargetMode="External"/><Relationship Id="rId41" Type="http://schemas.openxmlformats.org/officeDocument/2006/relationships/hyperlink" Target="https://www.dataroma.com/m/stock.php?sym=LSXMK" TargetMode="External"/><Relationship Id="rId62" Type="http://schemas.openxmlformats.org/officeDocument/2006/relationships/hyperlink" Target="https://www.dataroma.com/m/hist/hist.php?f=BRK&amp;s=MKL" TargetMode="External"/><Relationship Id="rId83" Type="http://schemas.openxmlformats.org/officeDocument/2006/relationships/hyperlink" Target="https://www.dataroma.com/m/stock.php?sym=VOO" TargetMode="External"/><Relationship Id="rId88" Type="http://schemas.openxmlformats.org/officeDocument/2006/relationships/hyperlink" Target="https://www.dataroma.com/m/hist/hist.php?f=BRK&amp;s=LILAK" TargetMode="External"/><Relationship Id="rId111" Type="http://schemas.openxmlformats.org/officeDocument/2006/relationships/hyperlink" Target="https://www.dataroma.com/m/stock.php?sym=ALLY" TargetMode="External"/><Relationship Id="rId132" Type="http://schemas.openxmlformats.org/officeDocument/2006/relationships/hyperlink" Target="https://www.dataroma.com/m/stock.php?sym=LEN.B" TargetMode="External"/><Relationship Id="rId15" Type="http://schemas.openxmlformats.org/officeDocument/2006/relationships/hyperlink" Target="https://www.dataroma.com/m/stock.php?sym=MCO" TargetMode="External"/><Relationship Id="rId36" Type="http://schemas.openxmlformats.org/officeDocument/2006/relationships/hyperlink" Target="https://www.dataroma.com/m/hist/hist.php?f=BRK&amp;s=COF" TargetMode="External"/><Relationship Id="rId57" Type="http://schemas.openxmlformats.org/officeDocument/2006/relationships/hyperlink" Target="https://www.dataroma.com/m/stock.php?sym=FND" TargetMode="External"/><Relationship Id="rId106" Type="http://schemas.openxmlformats.org/officeDocument/2006/relationships/hyperlink" Target="https://www.dataroma.com/m/stock.php?sym=AMZN" TargetMode="External"/><Relationship Id="rId127" Type="http://schemas.openxmlformats.org/officeDocument/2006/relationships/hyperlink" Target="https://www.dataroma.com/m/stock.php?sym=LILA" TargetMode="External"/><Relationship Id="rId10" Type="http://schemas.openxmlformats.org/officeDocument/2006/relationships/hyperlink" Target="https://www.dataroma.com/m/hist/hist.php?f=BRK&amp;s=OXY" TargetMode="External"/><Relationship Id="rId31" Type="http://schemas.openxmlformats.org/officeDocument/2006/relationships/hyperlink" Target="https://www.dataroma.com/m/stock.php?sym=MA" TargetMode="External"/><Relationship Id="rId52" Type="http://schemas.openxmlformats.org/officeDocument/2006/relationships/hyperlink" Target="https://www.dataroma.com/m/hist/hist.php?f=BRK&amp;s=LSXMA" TargetMode="External"/><Relationship Id="rId73" Type="http://schemas.openxmlformats.org/officeDocument/2006/relationships/hyperlink" Target="https://www.dataroma.com/m/stock.php?sym=DEO" TargetMode="External"/><Relationship Id="rId78" Type="http://schemas.openxmlformats.org/officeDocument/2006/relationships/hyperlink" Target="https://www.dataroma.com/m/hist/hist.php?f=BRK&amp;s=SIRI" TargetMode="External"/><Relationship Id="rId94" Type="http://schemas.openxmlformats.org/officeDocument/2006/relationships/hyperlink" Target="https://www.dataroma.com/m/stock.php?sym=OXY" TargetMode="External"/><Relationship Id="rId99" Type="http://schemas.openxmlformats.org/officeDocument/2006/relationships/hyperlink" Target="https://www.dataroma.com/m/stock.php?sym=VRSN" TargetMode="External"/><Relationship Id="rId101" Type="http://schemas.openxmlformats.org/officeDocument/2006/relationships/hyperlink" Target="https://www.dataroma.com/m/stock.php?sym=KR" TargetMode="External"/><Relationship Id="rId122" Type="http://schemas.openxmlformats.org/officeDocument/2006/relationships/hyperlink" Target="https://www.dataroma.com/m/stock.php?sym=STNE" TargetMode="External"/><Relationship Id="rId4" Type="http://schemas.openxmlformats.org/officeDocument/2006/relationships/hyperlink" Target="https://www.dataroma.com/m/hist/hist.php?f=BRK&amp;s=AXP" TargetMode="External"/><Relationship Id="rId9" Type="http://schemas.openxmlformats.org/officeDocument/2006/relationships/hyperlink" Target="https://www.dataroma.com/m/stock.php?sym=CVX" TargetMode="External"/><Relationship Id="rId26" Type="http://schemas.openxmlformats.org/officeDocument/2006/relationships/hyperlink" Target="https://www.dataroma.com/m/hist/hist.php?f=BRK&amp;s=V" TargetMode="External"/><Relationship Id="rId47" Type="http://schemas.openxmlformats.org/officeDocument/2006/relationships/hyperlink" Target="https://www.dataroma.com/m/stock.php?sym=NU" TargetMode="External"/><Relationship Id="rId68" Type="http://schemas.openxmlformats.org/officeDocument/2006/relationships/hyperlink" Target="https://www.dataroma.com/m/hist/hist.php?f=BRK&amp;s=GL" TargetMode="External"/><Relationship Id="rId89" Type="http://schemas.openxmlformats.org/officeDocument/2006/relationships/hyperlink" Target="https://www.dataroma.com/m/stock.php?sym=LILAK" TargetMode="External"/><Relationship Id="rId112" Type="http://schemas.openxmlformats.org/officeDocument/2006/relationships/hyperlink" Target="https://www.dataroma.com/m/stock.php?sym=NU" TargetMode="External"/><Relationship Id="rId133" Type="http://schemas.openxmlformats.org/officeDocument/2006/relationships/hyperlink" Target="https://www.dataroma.com/m/stock.php?sym=LIL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FF38-E71E-3648-9A7A-13401C8B9393}">
  <dimension ref="A1:N27"/>
  <sheetViews>
    <sheetView tabSelected="1" topLeftCell="A15" zoomScale="150" workbookViewId="0">
      <selection activeCell="A27" sqref="A27:XFD29"/>
    </sheetView>
  </sheetViews>
  <sheetFormatPr baseColWidth="10" defaultRowHeight="15"/>
  <cols>
    <col min="1" max="1" width="11.83203125" customWidth="1"/>
    <col min="2" max="2" width="106.5" customWidth="1"/>
  </cols>
  <sheetData>
    <row r="1" spans="1:14">
      <c r="A1" s="224" t="s">
        <v>2120</v>
      </c>
      <c r="B1" s="225" t="s">
        <v>2121</v>
      </c>
      <c r="C1" s="221" t="s">
        <v>2122</v>
      </c>
      <c r="D1" s="221" t="s">
        <v>2703</v>
      </c>
    </row>
    <row r="2" spans="1:14">
      <c r="A2" s="194" t="s">
        <v>2619</v>
      </c>
      <c r="B2" s="222" t="s">
        <v>2620</v>
      </c>
      <c r="C2" s="196" t="s">
        <v>29</v>
      </c>
      <c r="D2" s="196" t="s">
        <v>2696</v>
      </c>
    </row>
    <row r="3" spans="1:14">
      <c r="A3" s="196" t="s">
        <v>2668</v>
      </c>
      <c r="B3" s="196" t="s">
        <v>2669</v>
      </c>
      <c r="C3" s="196" t="s">
        <v>29</v>
      </c>
      <c r="D3" s="196" t="s">
        <v>2673</v>
      </c>
      <c r="E3" s="48"/>
    </row>
    <row r="4" spans="1:14">
      <c r="A4" s="196" t="s">
        <v>1089</v>
      </c>
      <c r="B4" s="196" t="s">
        <v>2674</v>
      </c>
      <c r="C4" s="196" t="s">
        <v>28</v>
      </c>
      <c r="D4" s="196" t="s">
        <v>2680</v>
      </c>
    </row>
    <row r="5" spans="1:14" ht="45">
      <c r="A5" s="223" t="s">
        <v>2704</v>
      </c>
      <c r="B5" s="180" t="s">
        <v>2705</v>
      </c>
      <c r="C5" s="196" t="s">
        <v>29</v>
      </c>
      <c r="D5" s="196" t="s">
        <v>2685</v>
      </c>
    </row>
    <row r="6" spans="1:14">
      <c r="A6" s="196" t="s">
        <v>2681</v>
      </c>
      <c r="B6" s="196" t="s">
        <v>2682</v>
      </c>
      <c r="C6" s="196" t="s">
        <v>29</v>
      </c>
      <c r="D6" s="196" t="s">
        <v>2686</v>
      </c>
    </row>
    <row r="7" spans="1:14" ht="45">
      <c r="A7" s="196" t="s">
        <v>2706</v>
      </c>
      <c r="B7" s="180" t="s">
        <v>2707</v>
      </c>
      <c r="C7" s="196" t="s">
        <v>29</v>
      </c>
      <c r="D7" s="196" t="s">
        <v>2708</v>
      </c>
    </row>
    <row r="8" spans="1:14">
      <c r="A8" s="196" t="s">
        <v>2683</v>
      </c>
      <c r="B8" s="196" t="s">
        <v>2684</v>
      </c>
      <c r="C8" s="196" t="s">
        <v>29</v>
      </c>
      <c r="D8" s="196" t="s">
        <v>2687</v>
      </c>
    </row>
    <row r="9" spans="1:14">
      <c r="A9" s="223" t="s">
        <v>20</v>
      </c>
      <c r="B9" s="196" t="s">
        <v>832</v>
      </c>
      <c r="C9" s="196" t="s">
        <v>28</v>
      </c>
      <c r="D9" s="196" t="s">
        <v>2691</v>
      </c>
    </row>
    <row r="10" spans="1:14">
      <c r="A10" s="196" t="s">
        <v>833</v>
      </c>
      <c r="B10" s="196" t="s">
        <v>834</v>
      </c>
      <c r="C10" s="196" t="s">
        <v>28</v>
      </c>
      <c r="D10" s="196" t="s">
        <v>2692</v>
      </c>
    </row>
    <row r="11" spans="1:14">
      <c r="A11" s="196" t="s">
        <v>1872</v>
      </c>
      <c r="B11" s="196" t="s">
        <v>2690</v>
      </c>
      <c r="C11" s="196" t="s">
        <v>28</v>
      </c>
      <c r="D11" s="196" t="s">
        <v>2694</v>
      </c>
    </row>
    <row r="12" spans="1:14">
      <c r="A12" s="223" t="s">
        <v>2622</v>
      </c>
      <c r="B12" s="196" t="s">
        <v>2625</v>
      </c>
      <c r="C12" s="196" t="s">
        <v>28</v>
      </c>
      <c r="D12" s="196" t="s">
        <v>2634</v>
      </c>
    </row>
    <row r="13" spans="1:14">
      <c r="A13" s="196" t="s">
        <v>1091</v>
      </c>
      <c r="B13" s="196" t="s">
        <v>2629</v>
      </c>
      <c r="C13" s="196" t="s">
        <v>28</v>
      </c>
      <c r="D13" s="196" t="s">
        <v>2635</v>
      </c>
      <c r="K13" s="48"/>
      <c r="L13" s="48"/>
      <c r="M13" s="48"/>
      <c r="N13" s="48"/>
    </row>
    <row r="14" spans="1:14">
      <c r="A14" s="196" t="s">
        <v>2636</v>
      </c>
      <c r="B14" s="196" t="s">
        <v>2637</v>
      </c>
      <c r="C14" s="196" t="s">
        <v>28</v>
      </c>
      <c r="D14" s="196" t="s">
        <v>2640</v>
      </c>
    </row>
    <row r="15" spans="1:14">
      <c r="A15" s="196" t="s">
        <v>1090</v>
      </c>
      <c r="B15" s="196" t="s">
        <v>1316</v>
      </c>
      <c r="C15" s="196" t="s">
        <v>28</v>
      </c>
      <c r="D15" s="196" t="s">
        <v>2644</v>
      </c>
    </row>
    <row r="16" spans="1:14">
      <c r="A16" s="223" t="s">
        <v>2720</v>
      </c>
      <c r="B16" s="32" t="s">
        <v>2721</v>
      </c>
      <c r="C16" s="196" t="s">
        <v>28</v>
      </c>
      <c r="D16" s="196" t="s">
        <v>2655</v>
      </c>
    </row>
    <row r="17" spans="1:4">
      <c r="A17" s="223" t="s">
        <v>2177</v>
      </c>
      <c r="B17" s="32" t="s">
        <v>2722</v>
      </c>
      <c r="C17" s="196" t="s">
        <v>28</v>
      </c>
      <c r="D17" s="196" t="s">
        <v>2655</v>
      </c>
    </row>
    <row r="18" spans="1:4">
      <c r="A18" s="223" t="s">
        <v>2723</v>
      </c>
      <c r="B18" s="32" t="s">
        <v>2724</v>
      </c>
      <c r="C18" s="196" t="s">
        <v>28</v>
      </c>
      <c r="D18" s="196" t="s">
        <v>2655</v>
      </c>
    </row>
    <row r="19" spans="1:4">
      <c r="A19" s="196" t="s">
        <v>2656</v>
      </c>
      <c r="B19" s="196" t="s">
        <v>2657</v>
      </c>
      <c r="C19" s="196" t="s">
        <v>28</v>
      </c>
      <c r="D19" s="196" t="s">
        <v>2660</v>
      </c>
    </row>
    <row r="20" spans="1:4" ht="45">
      <c r="A20" s="196" t="s">
        <v>2710</v>
      </c>
      <c r="B20" s="180" t="s">
        <v>2711</v>
      </c>
      <c r="C20" s="196" t="s">
        <v>28</v>
      </c>
      <c r="D20" s="196" t="s">
        <v>2660</v>
      </c>
    </row>
    <row r="21" spans="1:4" ht="45">
      <c r="A21" s="196" t="s">
        <v>2712</v>
      </c>
      <c r="B21" s="180" t="s">
        <v>2713</v>
      </c>
      <c r="C21" s="196" t="s">
        <v>28</v>
      </c>
      <c r="D21" s="196" t="s">
        <v>2662</v>
      </c>
    </row>
    <row r="22" spans="1:4" ht="45">
      <c r="A22" s="223" t="s">
        <v>2714</v>
      </c>
      <c r="B22" s="180" t="s">
        <v>884</v>
      </c>
      <c r="C22" s="196" t="s">
        <v>28</v>
      </c>
      <c r="D22" s="196" t="s">
        <v>2662</v>
      </c>
    </row>
    <row r="23" spans="1:4">
      <c r="A23" s="223" t="s">
        <v>2663</v>
      </c>
      <c r="B23" s="196" t="s">
        <v>2664</v>
      </c>
      <c r="C23" s="196" t="s">
        <v>28</v>
      </c>
      <c r="D23" s="196" t="s">
        <v>2666</v>
      </c>
    </row>
    <row r="24" spans="1:4">
      <c r="A24" s="32" t="s">
        <v>2725</v>
      </c>
      <c r="B24" s="32" t="s">
        <v>2726</v>
      </c>
      <c r="C24" s="196"/>
      <c r="D24" s="196"/>
    </row>
    <row r="25" spans="1:4" ht="45">
      <c r="A25" s="196" t="s">
        <v>2718</v>
      </c>
      <c r="B25" s="180" t="s">
        <v>2727</v>
      </c>
      <c r="C25" s="196" t="s">
        <v>28</v>
      </c>
      <c r="D25" s="196" t="s">
        <v>2667</v>
      </c>
    </row>
    <row r="26" spans="1:4">
      <c r="A26" s="196" t="s">
        <v>2697</v>
      </c>
      <c r="B26" s="196" t="s">
        <v>2698</v>
      </c>
      <c r="C26" s="196" t="s">
        <v>28</v>
      </c>
      <c r="D26" s="196" t="s">
        <v>2089</v>
      </c>
    </row>
    <row r="27" spans="1:4">
      <c r="A27" s="196"/>
      <c r="B27" s="196"/>
      <c r="C27" s="196"/>
      <c r="D27" s="196"/>
    </row>
  </sheetData>
  <phoneticPr fontId="95" type="noConversion"/>
  <hyperlinks>
    <hyperlink ref="A23" r:id="rId1" display="http://xgin.de/" xr:uid="{6D042F4B-B1B6-714D-834A-FF03BB9AF65F}"/>
    <hyperlink ref="A12" r:id="rId2" display="http://iusq.de/" xr:uid="{B40808EF-D56C-CF4A-8448-3B54D7C1E5D4}"/>
    <hyperlink ref="A9" r:id="rId3" display="http://zprv.de/" xr:uid="{AE8F80AC-32A6-C643-BEE6-694ECBB145F6}"/>
    <hyperlink ref="A5" r:id="rId4" display="http://iusg.de/" xr:uid="{C28C7857-119A-4744-B0BB-4DDEA3E95E35}"/>
    <hyperlink ref="B16" r:id="rId5" display="https://finance.yahoo.com/quote/CSBGE3.MI/" xr:uid="{07F4F9CA-E0FA-1C49-87F4-4EBCF7177C7D}"/>
    <hyperlink ref="B17" r:id="rId6" display="https://finance.yahoo.com/quote/CSBGE7.MI/" xr:uid="{02FC7EA0-25C6-E34E-AB6A-3622B551A50D}"/>
    <hyperlink ref="B18" r:id="rId7" display="https://finance.yahoo.com/quote/SXRQ.DE/" xr:uid="{4E4D2C26-5E71-C644-AF09-EF7691622628}"/>
    <hyperlink ref="A24" r:id="rId8" display="https://finance.yahoo.com/quote/XEIN.DE/" xr:uid="{6DA783E3-A09C-7C47-88D8-23C14B21E7FE}"/>
    <hyperlink ref="B24" r:id="rId9" display="https://finance.yahoo.com/quote/XEIN.DE/" xr:uid="{894A731F-3358-3D4B-A900-50AD652ED5AE}"/>
  </hyperlinks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D104-D122-ED4F-9557-76507CFD2D71}">
  <dimension ref="A1:I57"/>
  <sheetViews>
    <sheetView topLeftCell="A15" workbookViewId="0">
      <selection activeCell="E49" sqref="E49"/>
    </sheetView>
  </sheetViews>
  <sheetFormatPr baseColWidth="10" defaultRowHeight="13"/>
  <cols>
    <col min="1" max="1" width="11.83203125" style="233" customWidth="1"/>
    <col min="2" max="2" width="78.83203125" style="233" bestFit="1" customWidth="1"/>
    <col min="3" max="16384" width="10.83203125" style="233"/>
  </cols>
  <sheetData>
    <row r="1" spans="1:4">
      <c r="A1" s="234" t="s">
        <v>2120</v>
      </c>
      <c r="B1" s="237" t="s">
        <v>2121</v>
      </c>
      <c r="C1" s="233" t="s">
        <v>2122</v>
      </c>
      <c r="D1" s="233" t="s">
        <v>2703</v>
      </c>
    </row>
    <row r="2" spans="1:4">
      <c r="A2" s="230" t="s">
        <v>820</v>
      </c>
      <c r="B2" s="231" t="s">
        <v>1032</v>
      </c>
      <c r="C2" s="232" t="s">
        <v>29</v>
      </c>
      <c r="D2" s="233" t="s">
        <v>2695</v>
      </c>
    </row>
    <row r="3" spans="1:4">
      <c r="A3" s="234" t="s">
        <v>2619</v>
      </c>
      <c r="B3" s="231" t="s">
        <v>2620</v>
      </c>
      <c r="C3" s="233" t="s">
        <v>29</v>
      </c>
      <c r="D3" s="233" t="s">
        <v>2696</v>
      </c>
    </row>
    <row r="4" spans="1:4">
      <c r="A4" s="233" t="s">
        <v>2668</v>
      </c>
      <c r="B4" s="233" t="s">
        <v>2669</v>
      </c>
      <c r="C4" s="233" t="s">
        <v>29</v>
      </c>
      <c r="D4" s="233" t="s">
        <v>2673</v>
      </c>
    </row>
    <row r="5" spans="1:4">
      <c r="A5" s="235" t="s">
        <v>2670</v>
      </c>
      <c r="B5" s="233" t="s">
        <v>2671</v>
      </c>
      <c r="C5" s="233" t="s">
        <v>28</v>
      </c>
      <c r="D5" s="233" t="s">
        <v>2673</v>
      </c>
    </row>
    <row r="6" spans="1:4">
      <c r="A6" s="233" t="s">
        <v>2132</v>
      </c>
      <c r="B6" s="233" t="s">
        <v>2672</v>
      </c>
      <c r="C6" s="233" t="s">
        <v>28</v>
      </c>
      <c r="D6" s="233" t="s">
        <v>2673</v>
      </c>
    </row>
    <row r="7" spans="1:4">
      <c r="A7" s="233" t="s">
        <v>1089</v>
      </c>
      <c r="B7" s="233" t="s">
        <v>2674</v>
      </c>
      <c r="C7" s="233" t="s">
        <v>28</v>
      </c>
      <c r="D7" s="233" t="s">
        <v>2680</v>
      </c>
    </row>
    <row r="8" spans="1:4">
      <c r="A8" s="235" t="s">
        <v>2675</v>
      </c>
      <c r="B8" s="233" t="s">
        <v>2676</v>
      </c>
      <c r="C8" s="233" t="s">
        <v>28</v>
      </c>
      <c r="D8" s="233" t="s">
        <v>2680</v>
      </c>
    </row>
    <row r="9" spans="1:4">
      <c r="A9" s="233" t="s">
        <v>2677</v>
      </c>
      <c r="B9" s="233" t="s">
        <v>2678</v>
      </c>
      <c r="C9" s="233" t="s">
        <v>29</v>
      </c>
      <c r="D9" s="233" t="s">
        <v>2680</v>
      </c>
    </row>
    <row r="10" spans="1:4">
      <c r="A10" s="233" t="s">
        <v>2679</v>
      </c>
      <c r="B10" s="233" t="s">
        <v>2678</v>
      </c>
      <c r="C10" s="233" t="s">
        <v>28</v>
      </c>
      <c r="D10" s="233" t="s">
        <v>2680</v>
      </c>
    </row>
    <row r="11" spans="1:4">
      <c r="A11" s="235" t="s">
        <v>2704</v>
      </c>
      <c r="B11" s="231" t="s">
        <v>2705</v>
      </c>
      <c r="C11" s="233" t="s">
        <v>29</v>
      </c>
      <c r="D11" s="233" t="s">
        <v>2685</v>
      </c>
    </row>
    <row r="12" spans="1:4">
      <c r="A12" s="233" t="s">
        <v>2681</v>
      </c>
      <c r="B12" s="233" t="s">
        <v>2682</v>
      </c>
      <c r="C12" s="233" t="s">
        <v>29</v>
      </c>
      <c r="D12" s="233" t="s">
        <v>2686</v>
      </c>
    </row>
    <row r="13" spans="1:4">
      <c r="A13" s="233" t="s">
        <v>2706</v>
      </c>
      <c r="B13" s="231" t="s">
        <v>2707</v>
      </c>
      <c r="C13" s="233" t="s">
        <v>29</v>
      </c>
      <c r="D13" s="233" t="s">
        <v>2708</v>
      </c>
    </row>
    <row r="14" spans="1:4">
      <c r="A14" s="233" t="s">
        <v>2683</v>
      </c>
      <c r="B14" s="233" t="s">
        <v>2684</v>
      </c>
      <c r="C14" s="233" t="s">
        <v>29</v>
      </c>
      <c r="D14" s="233" t="s">
        <v>2687</v>
      </c>
    </row>
    <row r="15" spans="1:4">
      <c r="A15" s="235" t="s">
        <v>20</v>
      </c>
      <c r="B15" s="233" t="s">
        <v>832</v>
      </c>
      <c r="C15" s="233" t="s">
        <v>28</v>
      </c>
      <c r="D15" s="233" t="s">
        <v>2691</v>
      </c>
    </row>
    <row r="16" spans="1:4">
      <c r="A16" s="233" t="s">
        <v>833</v>
      </c>
      <c r="B16" s="233" t="s">
        <v>834</v>
      </c>
      <c r="C16" s="233" t="s">
        <v>28</v>
      </c>
      <c r="D16" s="233" t="s">
        <v>2692</v>
      </c>
    </row>
    <row r="17" spans="1:4">
      <c r="A17" s="233" t="s">
        <v>2688</v>
      </c>
      <c r="B17" s="233" t="s">
        <v>2689</v>
      </c>
      <c r="C17" s="233" t="s">
        <v>29</v>
      </c>
      <c r="D17" s="233" t="s">
        <v>2693</v>
      </c>
    </row>
    <row r="18" spans="1:4">
      <c r="A18" s="233" t="s">
        <v>1872</v>
      </c>
      <c r="B18" s="233" t="s">
        <v>2690</v>
      </c>
      <c r="C18" s="233" t="s">
        <v>28</v>
      </c>
      <c r="D18" s="233" t="s">
        <v>2694</v>
      </c>
    </row>
    <row r="19" spans="1:4">
      <c r="A19" s="233" t="s">
        <v>19</v>
      </c>
      <c r="B19" s="233" t="s">
        <v>2621</v>
      </c>
      <c r="C19" s="233" t="s">
        <v>28</v>
      </c>
      <c r="D19" s="233" t="s">
        <v>2634</v>
      </c>
    </row>
    <row r="20" spans="1:4">
      <c r="A20" s="235" t="s">
        <v>2622</v>
      </c>
      <c r="B20" s="233" t="s">
        <v>2625</v>
      </c>
      <c r="C20" s="233" t="s">
        <v>28</v>
      </c>
      <c r="D20" s="233" t="s">
        <v>2634</v>
      </c>
    </row>
    <row r="21" spans="1:4">
      <c r="A21" s="233" t="s">
        <v>2623</v>
      </c>
      <c r="B21" s="233" t="s">
        <v>2626</v>
      </c>
      <c r="C21" s="233" t="s">
        <v>28</v>
      </c>
      <c r="D21" s="233" t="s">
        <v>2634</v>
      </c>
    </row>
    <row r="22" spans="1:4">
      <c r="A22" s="235" t="s">
        <v>1126</v>
      </c>
      <c r="B22" s="233" t="s">
        <v>2627</v>
      </c>
      <c r="C22" s="233" t="s">
        <v>28</v>
      </c>
      <c r="D22" s="233" t="s">
        <v>2634</v>
      </c>
    </row>
    <row r="23" spans="1:4">
      <c r="A23" s="233" t="s">
        <v>2624</v>
      </c>
      <c r="B23" s="233" t="s">
        <v>2628</v>
      </c>
      <c r="C23" s="233" t="s">
        <v>28</v>
      </c>
      <c r="D23" s="233" t="s">
        <v>2634</v>
      </c>
    </row>
    <row r="24" spans="1:4">
      <c r="A24" s="233" t="s">
        <v>1091</v>
      </c>
      <c r="B24" s="233" t="s">
        <v>2629</v>
      </c>
      <c r="C24" s="233" t="s">
        <v>28</v>
      </c>
      <c r="D24" s="233" t="s">
        <v>2635</v>
      </c>
    </row>
    <row r="25" spans="1:4">
      <c r="A25" s="235" t="s">
        <v>2630</v>
      </c>
      <c r="B25" s="233" t="s">
        <v>2631</v>
      </c>
      <c r="C25" s="233" t="s">
        <v>28</v>
      </c>
      <c r="D25" s="233" t="s">
        <v>2635</v>
      </c>
    </row>
    <row r="26" spans="1:4">
      <c r="A26" s="233" t="s">
        <v>2632</v>
      </c>
      <c r="B26" s="233" t="s">
        <v>2633</v>
      </c>
      <c r="C26" s="233" t="s">
        <v>28</v>
      </c>
      <c r="D26" s="233" t="s">
        <v>2635</v>
      </c>
    </row>
    <row r="27" spans="1:4">
      <c r="A27" s="233" t="s">
        <v>1753</v>
      </c>
      <c r="B27" s="233" t="s">
        <v>831</v>
      </c>
      <c r="C27" s="233" t="s">
        <v>28</v>
      </c>
      <c r="D27" s="233" t="s">
        <v>2635</v>
      </c>
    </row>
    <row r="28" spans="1:4">
      <c r="A28" s="233" t="s">
        <v>2636</v>
      </c>
      <c r="B28" s="233" t="s">
        <v>2637</v>
      </c>
      <c r="C28" s="233" t="s">
        <v>28</v>
      </c>
      <c r="D28" s="233" t="s">
        <v>2640</v>
      </c>
    </row>
    <row r="29" spans="1:4">
      <c r="A29" s="235" t="s">
        <v>2638</v>
      </c>
      <c r="B29" s="233" t="s">
        <v>2639</v>
      </c>
      <c r="C29" s="233" t="s">
        <v>28</v>
      </c>
      <c r="D29" s="233" t="s">
        <v>2640</v>
      </c>
    </row>
    <row r="30" spans="1:4">
      <c r="A30" s="233" t="s">
        <v>1090</v>
      </c>
      <c r="B30" s="233" t="s">
        <v>1316</v>
      </c>
      <c r="C30" s="233" t="s">
        <v>28</v>
      </c>
      <c r="D30" s="233" t="s">
        <v>2644</v>
      </c>
    </row>
    <row r="31" spans="1:4">
      <c r="A31" s="233" t="s">
        <v>2324</v>
      </c>
      <c r="B31" s="233" t="s">
        <v>2641</v>
      </c>
      <c r="C31" s="233" t="s">
        <v>28</v>
      </c>
      <c r="D31" s="233" t="s">
        <v>2644</v>
      </c>
    </row>
    <row r="32" spans="1:4">
      <c r="A32" s="233" t="s">
        <v>2642</v>
      </c>
      <c r="B32" s="233" t="s">
        <v>2643</v>
      </c>
      <c r="C32" s="233" t="s">
        <v>29</v>
      </c>
      <c r="D32" s="233" t="s">
        <v>2644</v>
      </c>
    </row>
    <row r="33" spans="1:4">
      <c r="A33" s="233" t="s">
        <v>2645</v>
      </c>
      <c r="B33" s="233" t="s">
        <v>2646</v>
      </c>
      <c r="C33" s="233" t="s">
        <v>28</v>
      </c>
      <c r="D33" s="233" t="s">
        <v>2651</v>
      </c>
    </row>
    <row r="34" spans="1:4">
      <c r="A34" s="233" t="s">
        <v>2647</v>
      </c>
      <c r="B34" s="233" t="s">
        <v>2648</v>
      </c>
      <c r="C34" s="233" t="s">
        <v>28</v>
      </c>
      <c r="D34" s="233" t="s">
        <v>2651</v>
      </c>
    </row>
    <row r="35" spans="1:4">
      <c r="A35" s="235" t="s">
        <v>2649</v>
      </c>
      <c r="B35" s="233" t="s">
        <v>2650</v>
      </c>
      <c r="C35" s="233" t="s">
        <v>28</v>
      </c>
      <c r="D35" s="233" t="s">
        <v>2655</v>
      </c>
    </row>
    <row r="36" spans="1:4">
      <c r="A36" s="235" t="s">
        <v>2709</v>
      </c>
      <c r="B36" s="233" t="s">
        <v>2652</v>
      </c>
      <c r="C36" s="233" t="s">
        <v>28</v>
      </c>
      <c r="D36" s="233" t="s">
        <v>2655</v>
      </c>
    </row>
    <row r="37" spans="1:4">
      <c r="A37" s="235" t="s">
        <v>2097</v>
      </c>
      <c r="B37" s="233" t="s">
        <v>2653</v>
      </c>
      <c r="C37" s="233" t="s">
        <v>28</v>
      </c>
      <c r="D37" s="233" t="s">
        <v>2655</v>
      </c>
    </row>
    <row r="38" spans="1:4">
      <c r="A38" s="235" t="s">
        <v>1100</v>
      </c>
      <c r="B38" s="233" t="s">
        <v>2654</v>
      </c>
      <c r="C38" s="233" t="s">
        <v>28</v>
      </c>
      <c r="D38" s="233" t="s">
        <v>2655</v>
      </c>
    </row>
    <row r="39" spans="1:4">
      <c r="A39" s="233" t="s">
        <v>2656</v>
      </c>
      <c r="B39" s="233" t="s">
        <v>2657</v>
      </c>
      <c r="C39" s="233" t="s">
        <v>28</v>
      </c>
      <c r="D39" s="233" t="s">
        <v>2660</v>
      </c>
    </row>
    <row r="40" spans="1:4">
      <c r="A40" s="233" t="s">
        <v>2710</v>
      </c>
      <c r="B40" s="231" t="s">
        <v>2711</v>
      </c>
      <c r="C40" s="233" t="s">
        <v>28</v>
      </c>
      <c r="D40" s="233" t="s">
        <v>2660</v>
      </c>
    </row>
    <row r="41" spans="1:4">
      <c r="A41" s="235" t="s">
        <v>2658</v>
      </c>
      <c r="B41" s="233" t="s">
        <v>2659</v>
      </c>
      <c r="C41" s="233" t="s">
        <v>28</v>
      </c>
      <c r="D41" s="233" t="s">
        <v>2660</v>
      </c>
    </row>
    <row r="42" spans="1:4">
      <c r="A42" s="235" t="s">
        <v>1113</v>
      </c>
      <c r="B42" s="233" t="s">
        <v>2661</v>
      </c>
      <c r="C42" s="233" t="s">
        <v>28</v>
      </c>
      <c r="D42" s="233" t="s">
        <v>2662</v>
      </c>
    </row>
    <row r="43" spans="1:4">
      <c r="A43" s="233" t="s">
        <v>2712</v>
      </c>
      <c r="B43" s="231" t="s">
        <v>2713</v>
      </c>
      <c r="C43" s="233" t="s">
        <v>28</v>
      </c>
      <c r="D43" s="233" t="s">
        <v>2662</v>
      </c>
    </row>
    <row r="44" spans="1:4">
      <c r="A44" s="235" t="s">
        <v>2714</v>
      </c>
      <c r="B44" s="231" t="s">
        <v>884</v>
      </c>
      <c r="C44" s="233" t="s">
        <v>28</v>
      </c>
      <c r="D44" s="233" t="s">
        <v>2662</v>
      </c>
    </row>
    <row r="45" spans="1:4">
      <c r="A45" s="233" t="s">
        <v>2090</v>
      </c>
      <c r="B45" s="231" t="s">
        <v>2715</v>
      </c>
      <c r="C45" s="233" t="s">
        <v>28</v>
      </c>
      <c r="D45" s="233" t="s">
        <v>2666</v>
      </c>
    </row>
    <row r="46" spans="1:4">
      <c r="A46" s="235" t="s">
        <v>2663</v>
      </c>
      <c r="B46" s="233" t="s">
        <v>2664</v>
      </c>
      <c r="C46" s="233" t="s">
        <v>28</v>
      </c>
      <c r="D46" s="233" t="s">
        <v>2666</v>
      </c>
    </row>
    <row r="47" spans="1:4">
      <c r="A47" s="233" t="s">
        <v>2411</v>
      </c>
      <c r="B47" s="233" t="s">
        <v>2665</v>
      </c>
      <c r="C47" s="233" t="s">
        <v>28</v>
      </c>
      <c r="D47" s="233" t="s">
        <v>2666</v>
      </c>
    </row>
    <row r="48" spans="1:4">
      <c r="A48" s="233" t="s">
        <v>2716</v>
      </c>
      <c r="B48" s="231" t="s">
        <v>2717</v>
      </c>
      <c r="C48" s="233" t="s">
        <v>28</v>
      </c>
      <c r="D48" s="233" t="s">
        <v>2666</v>
      </c>
    </row>
    <row r="49" spans="1:9">
      <c r="A49" s="233" t="s">
        <v>2718</v>
      </c>
      <c r="B49" s="231" t="s">
        <v>2719</v>
      </c>
      <c r="C49" s="233" t="s">
        <v>28</v>
      </c>
      <c r="D49" s="233" t="s">
        <v>2667</v>
      </c>
    </row>
    <row r="50" spans="1:9">
      <c r="A50" s="233" t="s">
        <v>2697</v>
      </c>
      <c r="B50" s="233" t="s">
        <v>2698</v>
      </c>
      <c r="C50" s="233" t="s">
        <v>28</v>
      </c>
      <c r="D50" s="233" t="s">
        <v>2089</v>
      </c>
    </row>
    <row r="51" spans="1:9">
      <c r="A51" s="233" t="s">
        <v>2135</v>
      </c>
      <c r="B51" s="233" t="s">
        <v>1962</v>
      </c>
      <c r="C51" s="233" t="s">
        <v>28</v>
      </c>
      <c r="D51" s="233" t="s">
        <v>2089</v>
      </c>
    </row>
    <row r="52" spans="1:9">
      <c r="A52" s="235" t="s">
        <v>2699</v>
      </c>
      <c r="B52" s="233" t="s">
        <v>2700</v>
      </c>
      <c r="C52" s="233" t="s">
        <v>28</v>
      </c>
      <c r="D52" s="233" t="s">
        <v>2089</v>
      </c>
    </row>
    <row r="53" spans="1:9">
      <c r="A53" s="233" t="s">
        <v>2701</v>
      </c>
      <c r="B53" s="233" t="s">
        <v>2702</v>
      </c>
      <c r="C53" s="233" t="s">
        <v>28</v>
      </c>
      <c r="D53" s="233" t="s">
        <v>2089</v>
      </c>
    </row>
    <row r="54" spans="1:9">
      <c r="A54" s="231" t="s">
        <v>2571</v>
      </c>
      <c r="B54" s="231" t="s">
        <v>2572</v>
      </c>
      <c r="C54" s="238" t="s">
        <v>28</v>
      </c>
      <c r="D54" s="236" t="s">
        <v>2728</v>
      </c>
      <c r="I54" s="236"/>
    </row>
    <row r="55" spans="1:9">
      <c r="A55" s="233" t="s">
        <v>2255</v>
      </c>
      <c r="B55" s="231" t="s">
        <v>2614</v>
      </c>
      <c r="C55" s="239" t="s">
        <v>28</v>
      </c>
      <c r="D55" s="236" t="s">
        <v>2728</v>
      </c>
      <c r="I55" s="236"/>
    </row>
    <row r="56" spans="1:9">
      <c r="A56" s="233" t="s">
        <v>2615</v>
      </c>
      <c r="B56" s="231" t="s">
        <v>2616</v>
      </c>
      <c r="C56" s="239" t="s">
        <v>28</v>
      </c>
      <c r="D56" s="236" t="s">
        <v>2728</v>
      </c>
      <c r="I56" s="236"/>
    </row>
    <row r="57" spans="1:9">
      <c r="A57" s="233" t="s">
        <v>2617</v>
      </c>
      <c r="B57" s="231" t="s">
        <v>2618</v>
      </c>
      <c r="C57" s="239" t="s">
        <v>28</v>
      </c>
      <c r="D57" s="236" t="s">
        <v>2728</v>
      </c>
      <c r="I57" s="236"/>
    </row>
  </sheetData>
  <hyperlinks>
    <hyperlink ref="A25" r:id="rId1" display="http://eunl.de/" xr:uid="{D3B831DB-7BE7-EC44-955D-8D4AD5648109}"/>
    <hyperlink ref="A29" r:id="rId2" display="http://exie.de/" xr:uid="{7DBF71AB-E5A1-5746-9594-6331DE72FAE7}"/>
    <hyperlink ref="A35" r:id="rId3" display="http://exx5.de/" xr:uid="{5C3F1F21-80A6-6A4B-A3F1-C170887BAA29}"/>
    <hyperlink ref="A36" r:id="rId4" display="http://ibgs.de/" xr:uid="{92F746C5-6C2D-5E4C-8107-ABE070ABCF1B}"/>
    <hyperlink ref="A37" r:id="rId5" display="http://ibgm.de/" xr:uid="{137FD5CA-DBBD-4149-94B0-313F2BDF75A4}"/>
    <hyperlink ref="A38" r:id="rId6" display="http://ibgl.de/" xr:uid="{E778104F-911E-9041-93A8-3A9890FB40FA}"/>
    <hyperlink ref="A41" r:id="rId7" display="http://syb3.de/" xr:uid="{3F07D3A7-CB3E-DF42-A772-B81D54307B79}"/>
    <hyperlink ref="A42" r:id="rId8" display="http://sybj.de/" xr:uid="{7F610E34-ACD3-DD4A-8819-4877AC0613CC}"/>
    <hyperlink ref="A46" r:id="rId9" display="http://xgin.de/" xr:uid="{FE6C00CE-0666-D046-A54D-3A05574F5932}"/>
    <hyperlink ref="A5" r:id="rId10" display="http://anx.pa/" xr:uid="{4E2FF11F-CC90-9543-AEB1-8ED135CA0767}"/>
    <hyperlink ref="A22" r:id="rId11" display="http://spyy.de/" xr:uid="{2E86905F-4F36-DC4C-9E0F-FF951E5DDE34}"/>
    <hyperlink ref="A8" r:id="rId12" display="http://sxr8.de/" xr:uid="{0B9D1115-496D-104F-BC65-37D3CB47E4AA}"/>
    <hyperlink ref="A20" r:id="rId13" display="http://iusq.de/" xr:uid="{94F776A8-EC0C-4944-83DD-EF5A8171B4BA}"/>
    <hyperlink ref="A15" r:id="rId14" display="http://zprv.de/" xr:uid="{0524365E-F75D-7048-A342-2C26A764439D}"/>
    <hyperlink ref="A52" r:id="rId15" display="http://xad5.de/" xr:uid="{91683560-1C3A-9B4A-874F-B7AB28F86B38}"/>
    <hyperlink ref="A11" r:id="rId16" display="http://iusg.de/" xr:uid="{57403CF9-697A-4A4E-8DBB-67A85627F664}"/>
  </hyperlinks>
  <pageMargins left="0.7" right="0.7" top="0.75" bottom="0.75" header="0.3" footer="0.3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AAD3-1C46-AE43-AEF2-56898A879CDD}">
  <dimension ref="A1:J178"/>
  <sheetViews>
    <sheetView topLeftCell="A55" workbookViewId="0">
      <selection activeCell="A20" sqref="A20:XFD23"/>
    </sheetView>
  </sheetViews>
  <sheetFormatPr baseColWidth="10" defaultRowHeight="15"/>
  <cols>
    <col min="1" max="1" width="31.6640625" customWidth="1"/>
    <col min="2" max="2" width="48.83203125" customWidth="1"/>
  </cols>
  <sheetData>
    <row r="1" spans="1:10" ht="23">
      <c r="A1" s="18" t="s">
        <v>710</v>
      </c>
      <c r="B1" s="9" t="s">
        <v>711</v>
      </c>
      <c r="D1" s="15"/>
      <c r="E1" s="1"/>
      <c r="F1" s="1"/>
      <c r="I1" s="9"/>
      <c r="J1" s="12"/>
    </row>
    <row r="2" spans="1:10">
      <c r="A2" s="197" t="s">
        <v>2</v>
      </c>
      <c r="B2" s="198" t="s">
        <v>2549</v>
      </c>
      <c r="C2" s="199" t="s">
        <v>28</v>
      </c>
      <c r="D2" s="15"/>
      <c r="E2" s="1"/>
      <c r="F2" s="1"/>
      <c r="I2" s="7"/>
      <c r="J2" s="11"/>
    </row>
    <row r="3" spans="1:10">
      <c r="A3" s="197" t="s">
        <v>1146</v>
      </c>
      <c r="B3" s="198" t="s">
        <v>2550</v>
      </c>
      <c r="C3" s="199" t="s">
        <v>28</v>
      </c>
      <c r="D3" s="16"/>
      <c r="E3" s="1"/>
      <c r="F3" s="1"/>
      <c r="I3" s="10"/>
      <c r="J3" s="12"/>
    </row>
    <row r="4" spans="1:10" ht="45">
      <c r="A4" s="180" t="s">
        <v>2574</v>
      </c>
      <c r="B4" s="198" t="s">
        <v>2605</v>
      </c>
      <c r="C4" s="199" t="s">
        <v>29</v>
      </c>
      <c r="D4" s="16"/>
      <c r="E4" s="1"/>
      <c r="F4" s="1"/>
      <c r="I4" s="10"/>
      <c r="J4" s="12"/>
    </row>
    <row r="5" spans="1:10">
      <c r="A5" s="197" t="s">
        <v>1855</v>
      </c>
      <c r="B5" s="198" t="s">
        <v>2551</v>
      </c>
      <c r="C5" s="199" t="s">
        <v>28</v>
      </c>
      <c r="D5" s="15"/>
      <c r="E5" s="1"/>
      <c r="F5" s="1"/>
      <c r="I5" s="10"/>
      <c r="J5" s="12"/>
    </row>
    <row r="6" spans="1:10">
      <c r="A6" s="197" t="s">
        <v>20</v>
      </c>
      <c r="B6" s="198" t="s">
        <v>2552</v>
      </c>
      <c r="C6" s="199" t="s">
        <v>28</v>
      </c>
      <c r="D6" s="16"/>
      <c r="E6" s="1"/>
      <c r="F6" s="1"/>
      <c r="I6" s="10"/>
      <c r="J6" s="12"/>
    </row>
    <row r="7" spans="1:10">
      <c r="A7" s="197" t="s">
        <v>19</v>
      </c>
      <c r="B7" s="198" t="s">
        <v>2553</v>
      </c>
      <c r="C7" s="199" t="s">
        <v>28</v>
      </c>
      <c r="D7" s="9"/>
      <c r="E7" s="1"/>
      <c r="F7" s="1"/>
      <c r="I7" s="10"/>
      <c r="J7" s="12"/>
    </row>
    <row r="8" spans="1:10">
      <c r="A8" s="197" t="s">
        <v>1102</v>
      </c>
      <c r="B8" s="198" t="s">
        <v>2554</v>
      </c>
      <c r="C8" s="199" t="s">
        <v>28</v>
      </c>
      <c r="D8" s="15"/>
      <c r="E8" s="1"/>
      <c r="F8" s="1"/>
      <c r="I8" s="10"/>
      <c r="J8" s="12"/>
    </row>
    <row r="9" spans="1:10">
      <c r="A9" s="197" t="s">
        <v>2255</v>
      </c>
      <c r="B9" s="198" t="s">
        <v>2555</v>
      </c>
      <c r="C9" s="199" t="s">
        <v>28</v>
      </c>
      <c r="D9" s="1"/>
      <c r="E9" s="1"/>
      <c r="F9" s="1"/>
      <c r="I9" s="9"/>
      <c r="J9" s="12"/>
    </row>
    <row r="10" spans="1:10">
      <c r="A10" s="197" t="s">
        <v>1757</v>
      </c>
      <c r="B10" s="198" t="s">
        <v>2556</v>
      </c>
      <c r="C10" s="199" t="s">
        <v>28</v>
      </c>
      <c r="D10" s="1"/>
      <c r="E10" s="1"/>
      <c r="F10" s="1"/>
      <c r="I10" s="9"/>
      <c r="J10" s="12"/>
    </row>
    <row r="11" spans="1:10">
      <c r="A11" s="197" t="s">
        <v>2259</v>
      </c>
      <c r="B11" s="198" t="s">
        <v>2557</v>
      </c>
      <c r="C11" s="199" t="s">
        <v>28</v>
      </c>
      <c r="D11" s="1"/>
      <c r="E11" s="1"/>
      <c r="F11" s="1"/>
      <c r="I11" s="7"/>
      <c r="J11" s="11"/>
    </row>
    <row r="12" spans="1:10" ht="23">
      <c r="A12" s="197" t="s">
        <v>2196</v>
      </c>
      <c r="B12" s="198" t="s">
        <v>2558</v>
      </c>
      <c r="C12" s="199" t="s">
        <v>29</v>
      </c>
      <c r="D12" s="1"/>
      <c r="E12" s="1"/>
      <c r="F12" s="1"/>
      <c r="I12" s="9"/>
      <c r="J12" s="18"/>
    </row>
    <row r="13" spans="1:10">
      <c r="A13" s="197" t="s">
        <v>2188</v>
      </c>
      <c r="B13" s="198" t="s">
        <v>2559</v>
      </c>
      <c r="C13" s="199" t="s">
        <v>28</v>
      </c>
      <c r="D13" s="1"/>
      <c r="E13" s="1"/>
      <c r="F13" s="1"/>
      <c r="I13" s="9"/>
      <c r="J13" s="9"/>
    </row>
    <row r="14" spans="1:10">
      <c r="A14" s="197" t="s">
        <v>2231</v>
      </c>
      <c r="B14" s="198" t="s">
        <v>2560</v>
      </c>
      <c r="C14" s="199" t="s">
        <v>28</v>
      </c>
      <c r="I14" s="15"/>
    </row>
    <row r="15" spans="1:10">
      <c r="A15" s="197" t="s">
        <v>2242</v>
      </c>
      <c r="B15" s="198" t="s">
        <v>2561</v>
      </c>
      <c r="C15" s="199" t="s">
        <v>28</v>
      </c>
      <c r="I15" s="15"/>
    </row>
    <row r="16" spans="1:10">
      <c r="A16" s="197" t="s">
        <v>2244</v>
      </c>
      <c r="B16" s="198" t="s">
        <v>2562</v>
      </c>
      <c r="C16" s="199" t="s">
        <v>28</v>
      </c>
      <c r="I16" s="15"/>
    </row>
    <row r="17" spans="1:9">
      <c r="A17" s="197" t="s">
        <v>2240</v>
      </c>
      <c r="B17" s="198" t="s">
        <v>2375</v>
      </c>
      <c r="C17" s="199" t="s">
        <v>29</v>
      </c>
      <c r="I17" s="15"/>
    </row>
    <row r="18" spans="1:9">
      <c r="A18" s="197" t="s">
        <v>2320</v>
      </c>
      <c r="B18" s="198" t="s">
        <v>2321</v>
      </c>
      <c r="C18" s="199" t="s">
        <v>29</v>
      </c>
      <c r="D18" s="3"/>
      <c r="I18" s="15"/>
    </row>
    <row r="19" spans="1:9">
      <c r="A19" s="197" t="s">
        <v>2343</v>
      </c>
      <c r="B19" s="198" t="s">
        <v>2532</v>
      </c>
      <c r="C19" s="199" t="s">
        <v>2345</v>
      </c>
      <c r="D19" s="3"/>
      <c r="I19" s="15"/>
    </row>
    <row r="20" spans="1:9" ht="45">
      <c r="A20" s="180" t="s">
        <v>2571</v>
      </c>
      <c r="B20" s="180" t="s">
        <v>2572</v>
      </c>
      <c r="C20" s="219" t="s">
        <v>28</v>
      </c>
      <c r="D20" s="3"/>
      <c r="I20" s="15"/>
    </row>
    <row r="21" spans="1:9" ht="45">
      <c r="A21" s="19" t="s">
        <v>2255</v>
      </c>
      <c r="B21" s="180" t="s">
        <v>2614</v>
      </c>
      <c r="C21" s="220" t="s">
        <v>28</v>
      </c>
      <c r="D21" s="3"/>
      <c r="I21" s="15"/>
    </row>
    <row r="22" spans="1:9" ht="45">
      <c r="A22" s="19" t="s">
        <v>2615</v>
      </c>
      <c r="B22" s="180" t="s">
        <v>2616</v>
      </c>
      <c r="C22" s="220" t="s">
        <v>28</v>
      </c>
      <c r="D22" s="3"/>
      <c r="I22" s="15"/>
    </row>
    <row r="23" spans="1:9" ht="45">
      <c r="A23" s="19" t="s">
        <v>2617</v>
      </c>
      <c r="B23" s="180" t="s">
        <v>2618</v>
      </c>
      <c r="C23" s="220" t="s">
        <v>28</v>
      </c>
      <c r="D23" s="3"/>
      <c r="I23" s="15"/>
    </row>
    <row r="24" spans="1:9" ht="45">
      <c r="A24" s="180" t="s">
        <v>2576</v>
      </c>
      <c r="B24" s="180" t="s">
        <v>2577</v>
      </c>
      <c r="C24" s="220" t="s">
        <v>28</v>
      </c>
      <c r="D24" s="3"/>
      <c r="I24" s="15"/>
    </row>
    <row r="25" spans="1:9" ht="45">
      <c r="A25" s="180" t="s">
        <v>2202</v>
      </c>
      <c r="B25" s="180" t="s">
        <v>2575</v>
      </c>
      <c r="C25" s="220" t="s">
        <v>28</v>
      </c>
      <c r="D25" s="3"/>
      <c r="I25" s="15"/>
    </row>
    <row r="26" spans="1:9" ht="45">
      <c r="A26" s="180" t="s">
        <v>1095</v>
      </c>
      <c r="B26" s="180" t="s">
        <v>2606</v>
      </c>
      <c r="C26" s="220" t="s">
        <v>28</v>
      </c>
      <c r="D26" s="3"/>
      <c r="I26" s="15"/>
    </row>
    <row r="27" spans="1:9" ht="45">
      <c r="A27" s="180" t="s">
        <v>2607</v>
      </c>
      <c r="B27" s="180" t="s">
        <v>2608</v>
      </c>
      <c r="C27" s="220" t="s">
        <v>28</v>
      </c>
      <c r="D27" s="3"/>
      <c r="I27" s="15"/>
    </row>
    <row r="28" spans="1:9" ht="45">
      <c r="A28" s="180" t="s">
        <v>2609</v>
      </c>
      <c r="B28" s="180" t="s">
        <v>2610</v>
      </c>
      <c r="C28" s="220" t="s">
        <v>28</v>
      </c>
      <c r="D28" s="3"/>
      <c r="I28" s="15"/>
    </row>
    <row r="29" spans="1:9" ht="45">
      <c r="A29" s="180" t="s">
        <v>1044</v>
      </c>
      <c r="B29" s="180" t="s">
        <v>2611</v>
      </c>
      <c r="C29" s="220" t="s">
        <v>29</v>
      </c>
      <c r="D29" s="3"/>
      <c r="I29" s="15"/>
    </row>
    <row r="30" spans="1:9" ht="45">
      <c r="A30" s="180" t="s">
        <v>2612</v>
      </c>
      <c r="B30" s="180" t="s">
        <v>2613</v>
      </c>
      <c r="C30" s="220" t="s">
        <v>29</v>
      </c>
      <c r="D30" s="3"/>
      <c r="I30" s="15"/>
    </row>
    <row r="31" spans="1:9" ht="18">
      <c r="A31" s="27" t="s">
        <v>76</v>
      </c>
      <c r="B31" s="27" t="s">
        <v>77</v>
      </c>
      <c r="C31" s="172" t="s">
        <v>29</v>
      </c>
    </row>
    <row r="32" spans="1:9" ht="18">
      <c r="A32" s="27" t="s">
        <v>82</v>
      </c>
      <c r="B32" s="27" t="s">
        <v>83</v>
      </c>
      <c r="C32" s="172" t="s">
        <v>29</v>
      </c>
    </row>
    <row r="33" spans="1:3" ht="18">
      <c r="A33" s="27" t="s">
        <v>87</v>
      </c>
      <c r="B33" s="27" t="s">
        <v>88</v>
      </c>
      <c r="C33" s="172" t="s">
        <v>29</v>
      </c>
    </row>
    <row r="34" spans="1:3" ht="18">
      <c r="A34" s="27" t="s">
        <v>91</v>
      </c>
      <c r="B34" s="27" t="s">
        <v>92</v>
      </c>
      <c r="C34" s="172" t="s">
        <v>29</v>
      </c>
    </row>
    <row r="35" spans="1:3" ht="18">
      <c r="A35" s="27" t="s">
        <v>96</v>
      </c>
      <c r="B35" s="27" t="s">
        <v>97</v>
      </c>
      <c r="C35" s="172" t="s">
        <v>29</v>
      </c>
    </row>
    <row r="36" spans="1:3" ht="18">
      <c r="A36" s="27" t="s">
        <v>100</v>
      </c>
      <c r="B36" s="27" t="s">
        <v>101</v>
      </c>
      <c r="C36" s="172" t="s">
        <v>29</v>
      </c>
    </row>
    <row r="37" spans="1:3" ht="18">
      <c r="A37" s="27" t="s">
        <v>104</v>
      </c>
      <c r="B37" s="27" t="s">
        <v>105</v>
      </c>
      <c r="C37" s="172" t="s">
        <v>29</v>
      </c>
    </row>
    <row r="38" spans="1:3" ht="18">
      <c r="A38" s="27" t="s">
        <v>109</v>
      </c>
      <c r="B38" s="27" t="s">
        <v>110</v>
      </c>
      <c r="C38" s="172" t="s">
        <v>29</v>
      </c>
    </row>
    <row r="39" spans="1:3" ht="18">
      <c r="A39" s="27" t="s">
        <v>113</v>
      </c>
      <c r="B39" s="27" t="s">
        <v>114</v>
      </c>
      <c r="C39" s="172" t="s">
        <v>29</v>
      </c>
    </row>
    <row r="40" spans="1:3" ht="18">
      <c r="A40" s="27" t="s">
        <v>117</v>
      </c>
      <c r="B40" s="27" t="s">
        <v>118</v>
      </c>
      <c r="C40" s="172" t="s">
        <v>29</v>
      </c>
    </row>
    <row r="41" spans="1:3" ht="18">
      <c r="A41" s="27" t="s">
        <v>122</v>
      </c>
      <c r="B41" s="27" t="s">
        <v>123</v>
      </c>
      <c r="C41" s="172" t="s">
        <v>29</v>
      </c>
    </row>
    <row r="42" spans="1:3" ht="18">
      <c r="A42" s="27" t="s">
        <v>127</v>
      </c>
      <c r="B42" s="27" t="s">
        <v>128</v>
      </c>
      <c r="C42" s="172" t="s">
        <v>29</v>
      </c>
    </row>
    <row r="43" spans="1:3" ht="18">
      <c r="A43" s="27" t="s">
        <v>131</v>
      </c>
      <c r="B43" s="27" t="s">
        <v>132</v>
      </c>
      <c r="C43" s="172" t="s">
        <v>29</v>
      </c>
    </row>
    <row r="44" spans="1:3" ht="18">
      <c r="A44" s="27" t="s">
        <v>136</v>
      </c>
      <c r="B44" s="27" t="s">
        <v>137</v>
      </c>
      <c r="C44" s="172" t="s">
        <v>29</v>
      </c>
    </row>
    <row r="45" spans="1:3" ht="18">
      <c r="A45" s="27" t="s">
        <v>140</v>
      </c>
      <c r="B45" s="27" t="s">
        <v>141</v>
      </c>
      <c r="C45" s="172" t="s">
        <v>29</v>
      </c>
    </row>
    <row r="46" spans="1:3" ht="18">
      <c r="A46" s="27" t="s">
        <v>144</v>
      </c>
      <c r="B46" s="27" t="s">
        <v>145</v>
      </c>
      <c r="C46" s="172" t="s">
        <v>29</v>
      </c>
    </row>
    <row r="47" spans="1:3" ht="18">
      <c r="A47" s="27" t="s">
        <v>149</v>
      </c>
      <c r="B47" s="27" t="s">
        <v>150</v>
      </c>
      <c r="C47" s="172" t="s">
        <v>29</v>
      </c>
    </row>
    <row r="48" spans="1:3" ht="18">
      <c r="A48" s="27" t="s">
        <v>153</v>
      </c>
      <c r="B48" s="27" t="s">
        <v>154</v>
      </c>
      <c r="C48" s="172" t="s">
        <v>29</v>
      </c>
    </row>
    <row r="49" spans="1:3" ht="18">
      <c r="A49" s="27" t="s">
        <v>157</v>
      </c>
      <c r="B49" s="27" t="s">
        <v>158</v>
      </c>
      <c r="C49" s="172" t="s">
        <v>29</v>
      </c>
    </row>
    <row r="50" spans="1:3" ht="18">
      <c r="A50" s="27" t="s">
        <v>161</v>
      </c>
      <c r="B50" s="27" t="s">
        <v>162</v>
      </c>
      <c r="C50" s="172" t="s">
        <v>29</v>
      </c>
    </row>
    <row r="51" spans="1:3" ht="18">
      <c r="A51" s="27" t="s">
        <v>165</v>
      </c>
      <c r="B51" s="27" t="s">
        <v>166</v>
      </c>
      <c r="C51" s="172" t="s">
        <v>29</v>
      </c>
    </row>
    <row r="52" spans="1:3" ht="18">
      <c r="A52" s="27" t="s">
        <v>169</v>
      </c>
      <c r="B52" s="27" t="s">
        <v>170</v>
      </c>
      <c r="C52" s="172" t="s">
        <v>29</v>
      </c>
    </row>
    <row r="53" spans="1:3" ht="18">
      <c r="A53" s="27" t="s">
        <v>173</v>
      </c>
      <c r="B53" s="27" t="s">
        <v>174</v>
      </c>
      <c r="C53" s="172" t="s">
        <v>29</v>
      </c>
    </row>
    <row r="54" spans="1:3" ht="18">
      <c r="A54" s="27" t="s">
        <v>177</v>
      </c>
      <c r="B54" s="27" t="s">
        <v>178</v>
      </c>
      <c r="C54" s="172" t="s">
        <v>29</v>
      </c>
    </row>
    <row r="55" spans="1:3" ht="18">
      <c r="A55" s="27" t="s">
        <v>181</v>
      </c>
      <c r="B55" s="27" t="s">
        <v>182</v>
      </c>
      <c r="C55" s="172" t="s">
        <v>29</v>
      </c>
    </row>
    <row r="56" spans="1:3" ht="18">
      <c r="A56" s="27" t="s">
        <v>185</v>
      </c>
      <c r="B56" s="27" t="s">
        <v>186</v>
      </c>
      <c r="C56" s="172" t="s">
        <v>29</v>
      </c>
    </row>
    <row r="57" spans="1:3" ht="18">
      <c r="A57" s="27" t="s">
        <v>189</v>
      </c>
      <c r="B57" s="27" t="s">
        <v>190</v>
      </c>
      <c r="C57" s="172" t="s">
        <v>29</v>
      </c>
    </row>
    <row r="58" spans="1:3" ht="18">
      <c r="A58" s="27" t="s">
        <v>193</v>
      </c>
      <c r="B58" s="27" t="s">
        <v>194</v>
      </c>
      <c r="C58" s="172" t="s">
        <v>29</v>
      </c>
    </row>
    <row r="59" spans="1:3" ht="18">
      <c r="A59" s="27" t="s">
        <v>197</v>
      </c>
      <c r="B59" s="27" t="s">
        <v>198</v>
      </c>
      <c r="C59" s="172" t="s">
        <v>29</v>
      </c>
    </row>
    <row r="60" spans="1:3" ht="18">
      <c r="A60" s="27" t="s">
        <v>201</v>
      </c>
      <c r="B60" s="27" t="s">
        <v>202</v>
      </c>
      <c r="C60" s="172" t="s">
        <v>29</v>
      </c>
    </row>
    <row r="61" spans="1:3" ht="18">
      <c r="A61" s="27" t="s">
        <v>205</v>
      </c>
      <c r="B61" s="27" t="s">
        <v>206</v>
      </c>
      <c r="C61" s="172" t="s">
        <v>29</v>
      </c>
    </row>
    <row r="62" spans="1:3" ht="18">
      <c r="A62" s="27" t="s">
        <v>209</v>
      </c>
      <c r="B62" s="27" t="s">
        <v>210</v>
      </c>
      <c r="C62" s="172" t="s">
        <v>29</v>
      </c>
    </row>
    <row r="63" spans="1:3" ht="18">
      <c r="A63" s="27" t="s">
        <v>213</v>
      </c>
      <c r="B63" s="27" t="s">
        <v>214</v>
      </c>
      <c r="C63" s="172" t="s">
        <v>29</v>
      </c>
    </row>
    <row r="64" spans="1:3" ht="18">
      <c r="A64" s="27" t="s">
        <v>217</v>
      </c>
      <c r="B64" s="27" t="s">
        <v>218</v>
      </c>
      <c r="C64" s="172" t="s">
        <v>29</v>
      </c>
    </row>
    <row r="65" spans="1:3" ht="18">
      <c r="A65" s="27" t="s">
        <v>221</v>
      </c>
      <c r="B65" s="27" t="s">
        <v>222</v>
      </c>
      <c r="C65" s="172" t="s">
        <v>29</v>
      </c>
    </row>
    <row r="66" spans="1:3" ht="18">
      <c r="A66" s="27" t="s">
        <v>226</v>
      </c>
      <c r="B66" s="27" t="s">
        <v>227</v>
      </c>
      <c r="C66" s="172" t="s">
        <v>29</v>
      </c>
    </row>
    <row r="67" spans="1:3" ht="18">
      <c r="A67" s="27" t="s">
        <v>230</v>
      </c>
      <c r="B67" s="27" t="s">
        <v>231</v>
      </c>
      <c r="C67" s="172" t="s">
        <v>29</v>
      </c>
    </row>
    <row r="68" spans="1:3" ht="18">
      <c r="A68" s="27" t="s">
        <v>234</v>
      </c>
      <c r="B68" s="27" t="s">
        <v>235</v>
      </c>
      <c r="C68" s="172" t="s">
        <v>29</v>
      </c>
    </row>
    <row r="69" spans="1:3" ht="18">
      <c r="A69" s="27" t="s">
        <v>238</v>
      </c>
      <c r="B69" s="27" t="s">
        <v>239</v>
      </c>
      <c r="C69" s="172" t="s">
        <v>29</v>
      </c>
    </row>
    <row r="70" spans="1:3" ht="18">
      <c r="A70" s="27" t="s">
        <v>242</v>
      </c>
      <c r="B70" s="27" t="s">
        <v>243</v>
      </c>
      <c r="C70" s="172" t="s">
        <v>29</v>
      </c>
    </row>
    <row r="71" spans="1:3" ht="18">
      <c r="A71" s="27" t="s">
        <v>246</v>
      </c>
      <c r="B71" s="27" t="s">
        <v>247</v>
      </c>
      <c r="C71" s="172" t="s">
        <v>29</v>
      </c>
    </row>
    <row r="72" spans="1:3" ht="18">
      <c r="A72" s="27" t="s">
        <v>250</v>
      </c>
      <c r="B72" s="27" t="s">
        <v>251</v>
      </c>
      <c r="C72" s="172" t="s">
        <v>29</v>
      </c>
    </row>
    <row r="73" spans="1:3" ht="18">
      <c r="A73" s="27" t="s">
        <v>254</v>
      </c>
      <c r="B73" s="27" t="s">
        <v>255</v>
      </c>
      <c r="C73" s="172" t="s">
        <v>29</v>
      </c>
    </row>
    <row r="74" spans="1:3" ht="18">
      <c r="A74" s="27" t="s">
        <v>258</v>
      </c>
      <c r="B74" s="27" t="s">
        <v>259</v>
      </c>
      <c r="C74" s="172" t="s">
        <v>29</v>
      </c>
    </row>
    <row r="75" spans="1:3" ht="18">
      <c r="A75" s="27" t="s">
        <v>262</v>
      </c>
      <c r="B75" s="27" t="s">
        <v>263</v>
      </c>
      <c r="C75" s="172" t="s">
        <v>29</v>
      </c>
    </row>
    <row r="76" spans="1:3" ht="18">
      <c r="A76" s="27" t="s">
        <v>267</v>
      </c>
      <c r="B76" s="27" t="s">
        <v>268</v>
      </c>
      <c r="C76" s="172" t="s">
        <v>29</v>
      </c>
    </row>
    <row r="77" spans="1:3" ht="18">
      <c r="A77" s="27" t="s">
        <v>271</v>
      </c>
      <c r="B77" s="27" t="s">
        <v>272</v>
      </c>
      <c r="C77" s="172" t="s">
        <v>29</v>
      </c>
    </row>
    <row r="78" spans="1:3" ht="18">
      <c r="A78" s="27" t="s">
        <v>275</v>
      </c>
      <c r="B78" s="27" t="s">
        <v>276</v>
      </c>
      <c r="C78" s="172" t="s">
        <v>29</v>
      </c>
    </row>
    <row r="79" spans="1:3" ht="18">
      <c r="A79" s="27" t="s">
        <v>279</v>
      </c>
      <c r="B79" s="27" t="s">
        <v>280</v>
      </c>
      <c r="C79" s="172" t="s">
        <v>29</v>
      </c>
    </row>
    <row r="80" spans="1:3" ht="18">
      <c r="A80" s="27" t="s">
        <v>283</v>
      </c>
      <c r="B80" s="27" t="s">
        <v>284</v>
      </c>
      <c r="C80" s="172" t="s">
        <v>29</v>
      </c>
    </row>
    <row r="81" spans="1:3" ht="18">
      <c r="A81" s="27" t="s">
        <v>287</v>
      </c>
      <c r="B81" s="27" t="s">
        <v>288</v>
      </c>
      <c r="C81" s="172" t="s">
        <v>29</v>
      </c>
    </row>
    <row r="82" spans="1:3" ht="18">
      <c r="A82" s="27" t="s">
        <v>291</v>
      </c>
      <c r="B82" s="27" t="s">
        <v>292</v>
      </c>
      <c r="C82" s="172" t="s">
        <v>29</v>
      </c>
    </row>
    <row r="83" spans="1:3" ht="18">
      <c r="A83" s="27" t="s">
        <v>295</v>
      </c>
      <c r="B83" s="27" t="s">
        <v>296</v>
      </c>
      <c r="C83" s="172" t="s">
        <v>29</v>
      </c>
    </row>
    <row r="84" spans="1:3" ht="18">
      <c r="A84" s="27" t="s">
        <v>299</v>
      </c>
      <c r="B84" s="27" t="s">
        <v>300</v>
      </c>
      <c r="C84" s="172" t="s">
        <v>29</v>
      </c>
    </row>
    <row r="85" spans="1:3" ht="18">
      <c r="A85" s="27" t="s">
        <v>303</v>
      </c>
      <c r="B85" s="27" t="s">
        <v>304</v>
      </c>
      <c r="C85" s="172" t="s">
        <v>29</v>
      </c>
    </row>
    <row r="86" spans="1:3" ht="18">
      <c r="A86" s="27" t="s">
        <v>307</v>
      </c>
      <c r="B86" s="27" t="s">
        <v>308</v>
      </c>
      <c r="C86" s="172" t="s">
        <v>29</v>
      </c>
    </row>
    <row r="87" spans="1:3" ht="18">
      <c r="A87" s="27" t="s">
        <v>311</v>
      </c>
      <c r="B87" s="27" t="s">
        <v>312</v>
      </c>
      <c r="C87" s="172" t="s">
        <v>29</v>
      </c>
    </row>
    <row r="88" spans="1:3" ht="18">
      <c r="A88" s="27" t="s">
        <v>315</v>
      </c>
      <c r="B88" s="27" t="s">
        <v>316</v>
      </c>
      <c r="C88" s="172" t="s">
        <v>29</v>
      </c>
    </row>
    <row r="89" spans="1:3" ht="18">
      <c r="A89" s="27" t="s">
        <v>319</v>
      </c>
      <c r="B89" s="27" t="s">
        <v>320</v>
      </c>
      <c r="C89" s="172" t="s">
        <v>29</v>
      </c>
    </row>
    <row r="90" spans="1:3" ht="18">
      <c r="A90" s="27" t="s">
        <v>323</v>
      </c>
      <c r="B90" s="27" t="s">
        <v>324</v>
      </c>
      <c r="C90" s="172" t="s">
        <v>29</v>
      </c>
    </row>
    <row r="91" spans="1:3" ht="18">
      <c r="A91" s="27" t="s">
        <v>327</v>
      </c>
      <c r="B91" s="27" t="s">
        <v>328</v>
      </c>
      <c r="C91" s="172" t="s">
        <v>29</v>
      </c>
    </row>
    <row r="92" spans="1:3" ht="18">
      <c r="A92" s="27" t="s">
        <v>331</v>
      </c>
      <c r="B92" s="27" t="s">
        <v>332</v>
      </c>
      <c r="C92" s="172" t="s">
        <v>29</v>
      </c>
    </row>
    <row r="93" spans="1:3" ht="18">
      <c r="A93" s="27" t="s">
        <v>335</v>
      </c>
      <c r="B93" s="27" t="s">
        <v>336</v>
      </c>
      <c r="C93" s="172" t="s">
        <v>29</v>
      </c>
    </row>
    <row r="94" spans="1:3" ht="18">
      <c r="A94" s="27" t="s">
        <v>340</v>
      </c>
      <c r="B94" s="27" t="s">
        <v>341</v>
      </c>
      <c r="C94" s="172" t="s">
        <v>29</v>
      </c>
    </row>
    <row r="95" spans="1:3" ht="18">
      <c r="A95" s="27" t="s">
        <v>344</v>
      </c>
      <c r="B95" s="27" t="s">
        <v>345</v>
      </c>
      <c r="C95" s="172" t="s">
        <v>29</v>
      </c>
    </row>
    <row r="96" spans="1:3" ht="18">
      <c r="A96" s="27" t="s">
        <v>348</v>
      </c>
      <c r="B96" s="27" t="s">
        <v>349</v>
      </c>
      <c r="C96" s="172" t="s">
        <v>29</v>
      </c>
    </row>
    <row r="97" spans="1:3" ht="18">
      <c r="A97" s="27" t="s">
        <v>352</v>
      </c>
      <c r="B97" s="27" t="s">
        <v>353</v>
      </c>
      <c r="C97" s="172" t="s">
        <v>29</v>
      </c>
    </row>
    <row r="98" spans="1:3" ht="18">
      <c r="A98" s="27" t="s">
        <v>356</v>
      </c>
      <c r="B98" s="27" t="s">
        <v>357</v>
      </c>
      <c r="C98" s="172" t="s">
        <v>29</v>
      </c>
    </row>
    <row r="99" spans="1:3" ht="18">
      <c r="A99" s="27" t="s">
        <v>360</v>
      </c>
      <c r="B99" s="27" t="s">
        <v>361</v>
      </c>
      <c r="C99" s="172" t="s">
        <v>29</v>
      </c>
    </row>
    <row r="100" spans="1:3" ht="18">
      <c r="A100" s="27" t="s">
        <v>364</v>
      </c>
      <c r="B100" s="27" t="s">
        <v>365</v>
      </c>
      <c r="C100" s="172" t="s">
        <v>29</v>
      </c>
    </row>
    <row r="101" spans="1:3" ht="18">
      <c r="A101" s="27" t="s">
        <v>368</v>
      </c>
      <c r="B101" s="27" t="s">
        <v>369</v>
      </c>
      <c r="C101" s="172" t="s">
        <v>29</v>
      </c>
    </row>
    <row r="102" spans="1:3" ht="18">
      <c r="A102" s="27" t="s">
        <v>372</v>
      </c>
      <c r="B102" s="27" t="s">
        <v>373</v>
      </c>
      <c r="C102" s="172" t="s">
        <v>29</v>
      </c>
    </row>
    <row r="103" spans="1:3" ht="18">
      <c r="A103" s="27" t="s">
        <v>376</v>
      </c>
      <c r="B103" s="27" t="s">
        <v>377</v>
      </c>
      <c r="C103" s="172" t="s">
        <v>29</v>
      </c>
    </row>
    <row r="104" spans="1:3" ht="18">
      <c r="A104" s="27" t="s">
        <v>380</v>
      </c>
      <c r="B104" s="27" t="s">
        <v>381</v>
      </c>
      <c r="C104" s="172" t="s">
        <v>29</v>
      </c>
    </row>
    <row r="105" spans="1:3" ht="18">
      <c r="A105" s="27" t="s">
        <v>384</v>
      </c>
      <c r="B105" s="27" t="s">
        <v>385</v>
      </c>
      <c r="C105" s="172" t="s">
        <v>29</v>
      </c>
    </row>
    <row r="106" spans="1:3" ht="18">
      <c r="A106" s="27" t="s">
        <v>388</v>
      </c>
      <c r="B106" s="27" t="s">
        <v>389</v>
      </c>
      <c r="C106" s="172" t="s">
        <v>29</v>
      </c>
    </row>
    <row r="107" spans="1:3" ht="18">
      <c r="A107" s="27" t="s">
        <v>392</v>
      </c>
      <c r="B107" s="27" t="s">
        <v>393</v>
      </c>
      <c r="C107" s="172" t="s">
        <v>29</v>
      </c>
    </row>
    <row r="108" spans="1:3" ht="18">
      <c r="A108" s="27" t="s">
        <v>396</v>
      </c>
      <c r="B108" s="27" t="s">
        <v>397</v>
      </c>
      <c r="C108" s="172" t="s">
        <v>29</v>
      </c>
    </row>
    <row r="109" spans="1:3" ht="18">
      <c r="A109" s="27" t="s">
        <v>400</v>
      </c>
      <c r="B109" s="27" t="s">
        <v>401</v>
      </c>
      <c r="C109" s="172" t="s">
        <v>29</v>
      </c>
    </row>
    <row r="110" spans="1:3" ht="18">
      <c r="A110" s="27" t="s">
        <v>404</v>
      </c>
      <c r="B110" s="27" t="s">
        <v>405</v>
      </c>
      <c r="C110" s="172" t="s">
        <v>29</v>
      </c>
    </row>
    <row r="111" spans="1:3" ht="18">
      <c r="A111" s="27" t="s">
        <v>408</v>
      </c>
      <c r="B111" s="27" t="s">
        <v>409</v>
      </c>
      <c r="C111" s="172" t="s">
        <v>29</v>
      </c>
    </row>
    <row r="112" spans="1:3" ht="18">
      <c r="A112" s="27" t="s">
        <v>412</v>
      </c>
      <c r="B112" s="27" t="s">
        <v>413</v>
      </c>
      <c r="C112" s="172" t="s">
        <v>29</v>
      </c>
    </row>
    <row r="113" spans="1:3" ht="18">
      <c r="A113" s="27" t="s">
        <v>416</v>
      </c>
      <c r="B113" s="27" t="s">
        <v>417</v>
      </c>
      <c r="C113" s="172" t="s">
        <v>29</v>
      </c>
    </row>
    <row r="114" spans="1:3" ht="18">
      <c r="A114" s="27" t="s">
        <v>420</v>
      </c>
      <c r="B114" s="27" t="s">
        <v>421</v>
      </c>
      <c r="C114" s="172" t="s">
        <v>29</v>
      </c>
    </row>
    <row r="115" spans="1:3" ht="18">
      <c r="A115" s="27" t="s">
        <v>424</v>
      </c>
      <c r="B115" s="27" t="s">
        <v>425</v>
      </c>
      <c r="C115" s="172" t="s">
        <v>29</v>
      </c>
    </row>
    <row r="116" spans="1:3" ht="18">
      <c r="A116" s="27" t="s">
        <v>428</v>
      </c>
      <c r="B116" s="27" t="s">
        <v>429</v>
      </c>
      <c r="C116" s="172" t="s">
        <v>29</v>
      </c>
    </row>
    <row r="117" spans="1:3" ht="18">
      <c r="A117" s="27" t="s">
        <v>432</v>
      </c>
      <c r="B117" s="27" t="s">
        <v>433</v>
      </c>
      <c r="C117" s="172" t="s">
        <v>29</v>
      </c>
    </row>
    <row r="118" spans="1:3" ht="18">
      <c r="A118" s="27" t="s">
        <v>436</v>
      </c>
      <c r="B118" s="27" t="s">
        <v>437</v>
      </c>
      <c r="C118" s="172" t="s">
        <v>29</v>
      </c>
    </row>
    <row r="119" spans="1:3" ht="18">
      <c r="A119" s="27" t="s">
        <v>440</v>
      </c>
      <c r="B119" s="27" t="s">
        <v>441</v>
      </c>
      <c r="C119" s="172" t="s">
        <v>29</v>
      </c>
    </row>
    <row r="120" spans="1:3" ht="18">
      <c r="A120" s="27" t="s">
        <v>444</v>
      </c>
      <c r="B120" s="27" t="s">
        <v>445</v>
      </c>
      <c r="C120" s="172" t="s">
        <v>29</v>
      </c>
    </row>
    <row r="121" spans="1:3" ht="18">
      <c r="A121" s="27" t="s">
        <v>448</v>
      </c>
      <c r="B121" s="27" t="s">
        <v>449</v>
      </c>
      <c r="C121" s="172" t="s">
        <v>29</v>
      </c>
    </row>
    <row r="122" spans="1:3" ht="18">
      <c r="A122" s="27" t="s">
        <v>452</v>
      </c>
      <c r="B122" s="27" t="s">
        <v>453</v>
      </c>
      <c r="C122" s="172" t="s">
        <v>29</v>
      </c>
    </row>
    <row r="123" spans="1:3" ht="18">
      <c r="A123" s="27" t="s">
        <v>456</v>
      </c>
      <c r="B123" s="27" t="s">
        <v>457</v>
      </c>
      <c r="C123" s="172" t="s">
        <v>29</v>
      </c>
    </row>
    <row r="124" spans="1:3" ht="18">
      <c r="A124" s="27" t="s">
        <v>460</v>
      </c>
      <c r="B124" s="27" t="s">
        <v>461</v>
      </c>
      <c r="C124" s="172" t="s">
        <v>29</v>
      </c>
    </row>
    <row r="125" spans="1:3" ht="18">
      <c r="A125" s="27" t="s">
        <v>464</v>
      </c>
      <c r="B125" s="27" t="s">
        <v>465</v>
      </c>
      <c r="C125" s="172" t="s">
        <v>29</v>
      </c>
    </row>
    <row r="126" spans="1:3" ht="18">
      <c r="A126" s="27" t="s">
        <v>468</v>
      </c>
      <c r="B126" s="27" t="s">
        <v>469</v>
      </c>
      <c r="C126" s="172" t="s">
        <v>29</v>
      </c>
    </row>
    <row r="127" spans="1:3" ht="18">
      <c r="A127" s="27" t="s">
        <v>472</v>
      </c>
      <c r="B127" s="27" t="s">
        <v>473</v>
      </c>
      <c r="C127" s="172" t="s">
        <v>29</v>
      </c>
    </row>
    <row r="128" spans="1:3" ht="18">
      <c r="A128" s="27" t="s">
        <v>476</v>
      </c>
      <c r="B128" s="27" t="s">
        <v>477</v>
      </c>
      <c r="C128" s="172" t="s">
        <v>29</v>
      </c>
    </row>
    <row r="129" spans="1:3" ht="18">
      <c r="A129" s="27" t="s">
        <v>480</v>
      </c>
      <c r="B129" s="27" t="s">
        <v>481</v>
      </c>
      <c r="C129" s="172" t="s">
        <v>29</v>
      </c>
    </row>
    <row r="130" spans="1:3" ht="18">
      <c r="A130" s="27" t="s">
        <v>484</v>
      </c>
      <c r="B130" s="27" t="s">
        <v>485</v>
      </c>
      <c r="C130" s="172" t="s">
        <v>29</v>
      </c>
    </row>
    <row r="131" spans="1:3" ht="18">
      <c r="A131" s="27" t="s">
        <v>488</v>
      </c>
      <c r="B131" s="27" t="s">
        <v>489</v>
      </c>
      <c r="C131" s="172" t="s">
        <v>29</v>
      </c>
    </row>
    <row r="132" spans="1:3" ht="18">
      <c r="A132" s="27" t="s">
        <v>492</v>
      </c>
      <c r="B132" s="27" t="s">
        <v>493</v>
      </c>
      <c r="C132" s="172" t="s">
        <v>29</v>
      </c>
    </row>
    <row r="133" spans="1:3" ht="18">
      <c r="A133" s="27" t="s">
        <v>496</v>
      </c>
      <c r="B133" s="27" t="s">
        <v>497</v>
      </c>
      <c r="C133" s="172" t="s">
        <v>29</v>
      </c>
    </row>
    <row r="134" spans="1:3" ht="18">
      <c r="A134" s="27" t="s">
        <v>500</v>
      </c>
      <c r="B134" s="27" t="s">
        <v>501</v>
      </c>
      <c r="C134" s="172" t="s">
        <v>29</v>
      </c>
    </row>
    <row r="135" spans="1:3" ht="18">
      <c r="A135" s="27" t="s">
        <v>504</v>
      </c>
      <c r="B135" s="27" t="s">
        <v>505</v>
      </c>
      <c r="C135" s="172" t="s">
        <v>29</v>
      </c>
    </row>
    <row r="136" spans="1:3" ht="18">
      <c r="A136" s="27" t="s">
        <v>508</v>
      </c>
      <c r="B136" s="27" t="s">
        <v>509</v>
      </c>
      <c r="C136" s="172" t="s">
        <v>29</v>
      </c>
    </row>
    <row r="137" spans="1:3" ht="18">
      <c r="A137" s="27" t="s">
        <v>512</v>
      </c>
      <c r="B137" s="27" t="s">
        <v>513</v>
      </c>
      <c r="C137" s="172" t="s">
        <v>29</v>
      </c>
    </row>
    <row r="138" spans="1:3" ht="18">
      <c r="A138" s="27" t="s">
        <v>516</v>
      </c>
      <c r="B138" s="27" t="s">
        <v>517</v>
      </c>
      <c r="C138" s="172" t="s">
        <v>29</v>
      </c>
    </row>
    <row r="139" spans="1:3" ht="18">
      <c r="A139" s="27" t="s">
        <v>520</v>
      </c>
      <c r="B139" s="27" t="s">
        <v>521</v>
      </c>
      <c r="C139" s="172" t="s">
        <v>29</v>
      </c>
    </row>
    <row r="140" spans="1:3" ht="18">
      <c r="A140" s="27" t="s">
        <v>524</v>
      </c>
      <c r="B140" s="27" t="s">
        <v>525</v>
      </c>
      <c r="C140" s="172" t="s">
        <v>29</v>
      </c>
    </row>
    <row r="141" spans="1:3" ht="18">
      <c r="A141" s="27" t="s">
        <v>528</v>
      </c>
      <c r="B141" s="27" t="s">
        <v>529</v>
      </c>
      <c r="C141" s="172" t="s">
        <v>29</v>
      </c>
    </row>
    <row r="142" spans="1:3" ht="18">
      <c r="A142" s="27" t="s">
        <v>532</v>
      </c>
      <c r="B142" s="27" t="s">
        <v>533</v>
      </c>
      <c r="C142" s="172" t="s">
        <v>29</v>
      </c>
    </row>
    <row r="143" spans="1:3" ht="18">
      <c r="A143" s="27" t="s">
        <v>536</v>
      </c>
      <c r="B143" s="27" t="s">
        <v>537</v>
      </c>
      <c r="C143" s="172" t="s">
        <v>29</v>
      </c>
    </row>
    <row r="144" spans="1:3" ht="18">
      <c r="A144" s="27" t="s">
        <v>540</v>
      </c>
      <c r="B144" s="27" t="s">
        <v>541</v>
      </c>
      <c r="C144" s="172" t="s">
        <v>29</v>
      </c>
    </row>
    <row r="145" spans="1:3" ht="18">
      <c r="A145" s="27" t="s">
        <v>544</v>
      </c>
      <c r="B145" s="27" t="s">
        <v>545</v>
      </c>
      <c r="C145" s="172" t="s">
        <v>29</v>
      </c>
    </row>
    <row r="146" spans="1:3" ht="18">
      <c r="A146" s="27" t="s">
        <v>548</v>
      </c>
      <c r="B146" s="27" t="s">
        <v>549</v>
      </c>
      <c r="C146" s="172" t="s">
        <v>29</v>
      </c>
    </row>
    <row r="147" spans="1:3" ht="18">
      <c r="A147" s="27" t="s">
        <v>552</v>
      </c>
      <c r="B147" s="27" t="s">
        <v>553</v>
      </c>
      <c r="C147" s="172" t="s">
        <v>29</v>
      </c>
    </row>
    <row r="148" spans="1:3" ht="18">
      <c r="A148" s="27" t="s">
        <v>29</v>
      </c>
      <c r="B148" s="27" t="s">
        <v>556</v>
      </c>
      <c r="C148" s="172" t="s">
        <v>29</v>
      </c>
    </row>
    <row r="149" spans="1:3" ht="18">
      <c r="A149" s="27" t="s">
        <v>561</v>
      </c>
      <c r="B149" s="27" t="s">
        <v>562</v>
      </c>
      <c r="C149" s="172" t="s">
        <v>29</v>
      </c>
    </row>
    <row r="150" spans="1:3" ht="18">
      <c r="A150" s="27" t="s">
        <v>565</v>
      </c>
      <c r="B150" s="27" t="s">
        <v>566</v>
      </c>
      <c r="C150" s="172" t="s">
        <v>29</v>
      </c>
    </row>
    <row r="151" spans="1:3" ht="18">
      <c r="A151" s="27" t="s">
        <v>569</v>
      </c>
      <c r="B151" s="27" t="s">
        <v>570</v>
      </c>
      <c r="C151" s="172" t="s">
        <v>29</v>
      </c>
    </row>
    <row r="152" spans="1:3" ht="18">
      <c r="A152" s="27" t="s">
        <v>573</v>
      </c>
      <c r="B152" s="27" t="s">
        <v>574</v>
      </c>
      <c r="C152" s="172" t="s">
        <v>29</v>
      </c>
    </row>
    <row r="153" spans="1:3" ht="18">
      <c r="A153" s="27" t="s">
        <v>577</v>
      </c>
      <c r="B153" s="27" t="s">
        <v>578</v>
      </c>
      <c r="C153" s="172" t="s">
        <v>29</v>
      </c>
    </row>
    <row r="154" spans="1:3" ht="18">
      <c r="A154" s="27" t="s">
        <v>581</v>
      </c>
      <c r="B154" s="27" t="s">
        <v>582</v>
      </c>
      <c r="C154" s="172" t="s">
        <v>29</v>
      </c>
    </row>
    <row r="155" spans="1:3" ht="18">
      <c r="A155" s="27" t="s">
        <v>585</v>
      </c>
      <c r="B155" s="27" t="s">
        <v>586</v>
      </c>
      <c r="C155" s="172" t="s">
        <v>29</v>
      </c>
    </row>
    <row r="156" spans="1:3" ht="18">
      <c r="A156" s="27" t="s">
        <v>589</v>
      </c>
      <c r="B156" s="27" t="s">
        <v>590</v>
      </c>
      <c r="C156" s="172" t="s">
        <v>29</v>
      </c>
    </row>
    <row r="157" spans="1:3" ht="18">
      <c r="A157" s="27" t="s">
        <v>593</v>
      </c>
      <c r="B157" s="27" t="s">
        <v>594</v>
      </c>
      <c r="C157" s="172" t="s">
        <v>29</v>
      </c>
    </row>
    <row r="158" spans="1:3" ht="18">
      <c r="A158" s="27" t="s">
        <v>597</v>
      </c>
      <c r="B158" s="27" t="s">
        <v>598</v>
      </c>
      <c r="C158" s="172" t="s">
        <v>29</v>
      </c>
    </row>
    <row r="159" spans="1:3" ht="18">
      <c r="A159" s="27" t="s">
        <v>601</v>
      </c>
      <c r="B159" s="27" t="s">
        <v>602</v>
      </c>
      <c r="C159" s="172" t="s">
        <v>29</v>
      </c>
    </row>
    <row r="160" spans="1:3" ht="18">
      <c r="A160" s="27" t="s">
        <v>605</v>
      </c>
      <c r="B160" s="27" t="s">
        <v>606</v>
      </c>
      <c r="C160" s="172" t="s">
        <v>29</v>
      </c>
    </row>
    <row r="161" spans="1:3" ht="18">
      <c r="A161" s="27" t="s">
        <v>609</v>
      </c>
      <c r="B161" s="27" t="s">
        <v>610</v>
      </c>
      <c r="C161" s="172" t="s">
        <v>29</v>
      </c>
    </row>
    <row r="162" spans="1:3" ht="18">
      <c r="A162" s="27" t="s">
        <v>613</v>
      </c>
      <c r="B162" s="27" t="s">
        <v>614</v>
      </c>
      <c r="C162" s="172" t="s">
        <v>29</v>
      </c>
    </row>
    <row r="163" spans="1:3" ht="18">
      <c r="A163" s="27" t="s">
        <v>617</v>
      </c>
      <c r="B163" s="27" t="s">
        <v>618</v>
      </c>
      <c r="C163" s="172" t="s">
        <v>29</v>
      </c>
    </row>
    <row r="164" spans="1:3" ht="18">
      <c r="A164" s="27" t="s">
        <v>621</v>
      </c>
      <c r="B164" s="27" t="s">
        <v>622</v>
      </c>
      <c r="C164" s="172" t="s">
        <v>29</v>
      </c>
    </row>
    <row r="165" spans="1:3" ht="18">
      <c r="A165" s="27" t="s">
        <v>625</v>
      </c>
      <c r="B165" s="27" t="s">
        <v>626</v>
      </c>
      <c r="C165" s="172" t="s">
        <v>29</v>
      </c>
    </row>
    <row r="166" spans="1:3" ht="18">
      <c r="A166" s="27" t="s">
        <v>629</v>
      </c>
      <c r="B166" s="27" t="s">
        <v>630</v>
      </c>
      <c r="C166" s="172" t="s">
        <v>29</v>
      </c>
    </row>
    <row r="167" spans="1:3" ht="18">
      <c r="A167" s="27" t="s">
        <v>633</v>
      </c>
      <c r="B167" s="27" t="s">
        <v>634</v>
      </c>
      <c r="C167" s="172" t="s">
        <v>29</v>
      </c>
    </row>
    <row r="168" spans="1:3" ht="18">
      <c r="A168" s="27" t="s">
        <v>637</v>
      </c>
      <c r="B168" s="27" t="s">
        <v>638</v>
      </c>
      <c r="C168" s="172" t="s">
        <v>29</v>
      </c>
    </row>
    <row r="169" spans="1:3" ht="18">
      <c r="A169" s="27" t="s">
        <v>641</v>
      </c>
      <c r="B169" s="27" t="s">
        <v>642</v>
      </c>
      <c r="C169" s="172" t="s">
        <v>29</v>
      </c>
    </row>
    <row r="170" spans="1:3" ht="18">
      <c r="A170" s="27" t="s">
        <v>645</v>
      </c>
      <c r="B170" s="27" t="s">
        <v>646</v>
      </c>
      <c r="C170" s="172" t="s">
        <v>29</v>
      </c>
    </row>
    <row r="171" spans="1:3" ht="18">
      <c r="A171" s="27" t="s">
        <v>649</v>
      </c>
      <c r="B171" s="27" t="s">
        <v>650</v>
      </c>
      <c r="C171" s="172" t="s">
        <v>29</v>
      </c>
    </row>
    <row r="172" spans="1:3" ht="18">
      <c r="A172" s="27" t="s">
        <v>653</v>
      </c>
      <c r="B172" s="27" t="s">
        <v>654</v>
      </c>
      <c r="C172" s="172" t="s">
        <v>29</v>
      </c>
    </row>
    <row r="173" spans="1:3" ht="18">
      <c r="A173" s="27" t="s">
        <v>657</v>
      </c>
      <c r="B173" s="27" t="s">
        <v>658</v>
      </c>
      <c r="C173" s="172" t="s">
        <v>29</v>
      </c>
    </row>
    <row r="174" spans="1:3" ht="18">
      <c r="A174" s="27" t="s">
        <v>661</v>
      </c>
      <c r="B174" s="27" t="s">
        <v>662</v>
      </c>
      <c r="C174" s="172" t="s">
        <v>29</v>
      </c>
    </row>
    <row r="175" spans="1:3" ht="18">
      <c r="A175" s="27" t="s">
        <v>665</v>
      </c>
      <c r="B175" s="27" t="s">
        <v>666</v>
      </c>
      <c r="C175" s="172" t="s">
        <v>29</v>
      </c>
    </row>
    <row r="176" spans="1:3" ht="18">
      <c r="A176" s="27" t="s">
        <v>669</v>
      </c>
      <c r="B176" s="27" t="s">
        <v>670</v>
      </c>
      <c r="C176" s="172" t="s">
        <v>29</v>
      </c>
    </row>
    <row r="177" spans="1:3" ht="18">
      <c r="A177" s="27" t="s">
        <v>673</v>
      </c>
      <c r="B177" s="27" t="s">
        <v>674</v>
      </c>
      <c r="C177" s="172" t="s">
        <v>29</v>
      </c>
    </row>
    <row r="178" spans="1:3" ht="18">
      <c r="A178" s="27" t="s">
        <v>677</v>
      </c>
      <c r="B178" s="27" t="s">
        <v>678</v>
      </c>
      <c r="C178" s="17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E451-7433-6A4B-B304-482F00BB6E60}">
  <dimension ref="A2:I31"/>
  <sheetViews>
    <sheetView workbookViewId="0">
      <selection activeCell="A2" sqref="A2:XFD31"/>
    </sheetView>
  </sheetViews>
  <sheetFormatPr baseColWidth="10" defaultRowHeight="15"/>
  <sheetData>
    <row r="2" spans="1:9" ht="18">
      <c r="A2" s="32" t="s">
        <v>2240</v>
      </c>
      <c r="B2" s="154" t="s">
        <v>2241</v>
      </c>
      <c r="C2" s="154" t="s">
        <v>29</v>
      </c>
      <c r="D2" s="3"/>
      <c r="I2" s="15"/>
    </row>
    <row r="3" spans="1:9">
      <c r="A3" s="32" t="s">
        <v>928</v>
      </c>
      <c r="B3" s="172" t="s">
        <v>2268</v>
      </c>
      <c r="C3" s="172" t="s">
        <v>28</v>
      </c>
      <c r="D3" s="3"/>
      <c r="I3" s="15"/>
    </row>
    <row r="4" spans="1:9">
      <c r="A4" s="32" t="s">
        <v>2269</v>
      </c>
      <c r="B4" s="172" t="s">
        <v>2270</v>
      </c>
      <c r="C4" s="172" t="s">
        <v>28</v>
      </c>
      <c r="D4" s="3"/>
      <c r="I4" s="15"/>
    </row>
    <row r="5" spans="1:9">
      <c r="A5" s="32" t="s">
        <v>2271</v>
      </c>
      <c r="B5" s="172" t="s">
        <v>2272</v>
      </c>
      <c r="C5" s="172" t="s">
        <v>28</v>
      </c>
      <c r="D5" s="3"/>
      <c r="I5" s="15"/>
    </row>
    <row r="6" spans="1:9">
      <c r="A6" s="32" t="s">
        <v>2273</v>
      </c>
      <c r="B6" s="172" t="s">
        <v>2274</v>
      </c>
      <c r="C6" s="172" t="s">
        <v>28</v>
      </c>
      <c r="D6" s="3"/>
      <c r="I6" s="15"/>
    </row>
    <row r="7" spans="1:9">
      <c r="A7" s="32" t="s">
        <v>2275</v>
      </c>
      <c r="B7" s="172" t="s">
        <v>2276</v>
      </c>
      <c r="C7" s="172" t="s">
        <v>28</v>
      </c>
      <c r="D7" s="3"/>
      <c r="I7" s="15"/>
    </row>
    <row r="8" spans="1:9">
      <c r="A8" s="32" t="s">
        <v>2277</v>
      </c>
      <c r="B8" s="172" t="s">
        <v>2278</v>
      </c>
      <c r="C8" s="172" t="s">
        <v>28</v>
      </c>
      <c r="D8" s="3"/>
      <c r="I8" s="1"/>
    </row>
    <row r="9" spans="1:9">
      <c r="A9" s="32" t="s">
        <v>2279</v>
      </c>
      <c r="B9" s="172" t="s">
        <v>2280</v>
      </c>
      <c r="C9" s="172" t="s">
        <v>28</v>
      </c>
      <c r="D9" s="3"/>
      <c r="I9" s="1"/>
    </row>
    <row r="10" spans="1:9">
      <c r="A10" s="32" t="s">
        <v>2281</v>
      </c>
      <c r="B10" s="172" t="s">
        <v>2282</v>
      </c>
      <c r="C10" s="172" t="s">
        <v>28</v>
      </c>
      <c r="D10" s="3"/>
      <c r="I10" s="1"/>
    </row>
    <row r="11" spans="1:9">
      <c r="A11" s="32" t="s">
        <v>2283</v>
      </c>
      <c r="B11" s="172" t="s">
        <v>2284</v>
      </c>
      <c r="C11" s="172" t="s">
        <v>28</v>
      </c>
      <c r="D11" s="3"/>
      <c r="I11" s="16"/>
    </row>
    <row r="12" spans="1:9">
      <c r="A12" s="32" t="s">
        <v>2285</v>
      </c>
      <c r="B12" s="172" t="s">
        <v>2286</v>
      </c>
      <c r="C12" s="172" t="s">
        <v>28</v>
      </c>
      <c r="D12" s="3"/>
    </row>
    <row r="13" spans="1:9">
      <c r="A13" s="32" t="s">
        <v>2287</v>
      </c>
      <c r="B13" s="172" t="s">
        <v>2288</v>
      </c>
      <c r="C13" s="172" t="s">
        <v>28</v>
      </c>
      <c r="D13" s="3"/>
    </row>
    <row r="14" spans="1:9">
      <c r="A14" s="32" t="s">
        <v>2289</v>
      </c>
      <c r="B14" s="172" t="s">
        <v>2290</v>
      </c>
      <c r="C14" s="172" t="s">
        <v>28</v>
      </c>
      <c r="D14" s="3"/>
    </row>
    <row r="15" spans="1:9">
      <c r="A15" s="32" t="s">
        <v>2291</v>
      </c>
      <c r="B15" s="172" t="s">
        <v>2292</v>
      </c>
      <c r="C15" s="172" t="s">
        <v>28</v>
      </c>
      <c r="D15" s="3"/>
    </row>
    <row r="16" spans="1:9">
      <c r="A16" s="32" t="s">
        <v>918</v>
      </c>
      <c r="B16" s="172" t="s">
        <v>2293</v>
      </c>
      <c r="C16" s="172" t="s">
        <v>28</v>
      </c>
      <c r="D16" s="3"/>
    </row>
    <row r="17" spans="1:4">
      <c r="A17" s="32" t="s">
        <v>2294</v>
      </c>
      <c r="B17" s="172" t="s">
        <v>2295</v>
      </c>
      <c r="C17" s="172" t="s">
        <v>28</v>
      </c>
      <c r="D17" s="3"/>
    </row>
    <row r="18" spans="1:4">
      <c r="A18" s="32" t="s">
        <v>2296</v>
      </c>
      <c r="B18" s="172" t="s">
        <v>2297</v>
      </c>
      <c r="C18" s="172" t="s">
        <v>28</v>
      </c>
      <c r="D18" s="3"/>
    </row>
    <row r="19" spans="1:4">
      <c r="A19" s="32" t="s">
        <v>2298</v>
      </c>
      <c r="B19" s="172" t="s">
        <v>2299</v>
      </c>
      <c r="C19" s="172" t="s">
        <v>28</v>
      </c>
      <c r="D19" s="3"/>
    </row>
    <row r="20" spans="1:4">
      <c r="A20" s="32" t="s">
        <v>2300</v>
      </c>
      <c r="B20" s="172" t="s">
        <v>2301</v>
      </c>
      <c r="C20" s="172" t="s">
        <v>28</v>
      </c>
      <c r="D20" s="3"/>
    </row>
    <row r="21" spans="1:4">
      <c r="A21" s="32" t="s">
        <v>2302</v>
      </c>
      <c r="B21" s="172" t="s">
        <v>2303</v>
      </c>
      <c r="C21" s="172" t="s">
        <v>28</v>
      </c>
      <c r="D21" s="3"/>
    </row>
    <row r="22" spans="1:4">
      <c r="A22" s="32" t="s">
        <v>930</v>
      </c>
      <c r="B22" s="172" t="s">
        <v>2304</v>
      </c>
      <c r="C22" s="172" t="s">
        <v>28</v>
      </c>
      <c r="D22" s="3"/>
    </row>
    <row r="23" spans="1:4">
      <c r="A23" s="32" t="s">
        <v>2305</v>
      </c>
      <c r="B23" s="172" t="s">
        <v>2306</v>
      </c>
      <c r="C23" s="172" t="s">
        <v>28</v>
      </c>
      <c r="D23" s="3"/>
    </row>
    <row r="24" spans="1:4">
      <c r="A24" s="32" t="s">
        <v>2307</v>
      </c>
      <c r="B24" s="172" t="s">
        <v>2308</v>
      </c>
      <c r="C24" s="172" t="s">
        <v>28</v>
      </c>
      <c r="D24" s="3"/>
    </row>
    <row r="25" spans="1:4">
      <c r="A25" s="32" t="s">
        <v>920</v>
      </c>
      <c r="B25" s="172" t="s">
        <v>2309</v>
      </c>
      <c r="C25" s="172" t="s">
        <v>28</v>
      </c>
      <c r="D25" s="3"/>
    </row>
    <row r="26" spans="1:4">
      <c r="A26" s="32" t="s">
        <v>2310</v>
      </c>
      <c r="B26" s="172" t="s">
        <v>2311</v>
      </c>
      <c r="C26" s="172" t="s">
        <v>28</v>
      </c>
      <c r="D26" s="3"/>
    </row>
    <row r="27" spans="1:4">
      <c r="A27" s="32" t="s">
        <v>2312</v>
      </c>
      <c r="B27" s="172" t="s">
        <v>2313</v>
      </c>
      <c r="C27" s="172" t="s">
        <v>28</v>
      </c>
      <c r="D27" s="3"/>
    </row>
    <row r="28" spans="1:4">
      <c r="A28" s="32" t="s">
        <v>922</v>
      </c>
      <c r="B28" s="172" t="s">
        <v>2314</v>
      </c>
      <c r="C28" s="172" t="s">
        <v>28</v>
      </c>
      <c r="D28" s="3"/>
    </row>
    <row r="29" spans="1:4">
      <c r="A29" s="32" t="s">
        <v>815</v>
      </c>
      <c r="B29" s="172" t="s">
        <v>2315</v>
      </c>
      <c r="C29" s="172" t="s">
        <v>28</v>
      </c>
      <c r="D29" s="3"/>
    </row>
    <row r="30" spans="1:4">
      <c r="A30" s="32" t="s">
        <v>2316</v>
      </c>
      <c r="B30" s="172" t="s">
        <v>2317</v>
      </c>
      <c r="C30" s="172" t="s">
        <v>28</v>
      </c>
      <c r="D30" s="3"/>
    </row>
    <row r="31" spans="1:4">
      <c r="A31" s="32" t="s">
        <v>2318</v>
      </c>
      <c r="B31" s="172" t="s">
        <v>2319</v>
      </c>
      <c r="C31" s="172" t="s">
        <v>28</v>
      </c>
      <c r="D31" s="3"/>
    </row>
  </sheetData>
  <hyperlinks>
    <hyperlink ref="A31" r:id="rId1" tooltip="FBK.MI" display="https://it.finance.yahoo.com/quote/FBK.MI/" xr:uid="{0F5F8CA0-83C5-5242-9EB7-F9A959CC911B}"/>
    <hyperlink ref="A30" r:id="rId2" tooltip="AZM.MI" display="https://it.finance.yahoo.com/quote/AZM.MI/" xr:uid="{C6B5B33E-591B-F14C-BC2D-83498F61BEA0}"/>
    <hyperlink ref="A29" r:id="rId3" tooltip="TIT.MI" display="https://it.finance.yahoo.com/quote/TIT.MI/" xr:uid="{095FCB2E-0BD7-5647-96C7-81CFA04F4B1F}"/>
    <hyperlink ref="A28" r:id="rId4" tooltip="LDO.MI" display="https://it.finance.yahoo.com/quote/LDO.MI/" xr:uid="{90C471D4-777D-2A42-BACD-44E4EADADA79}"/>
    <hyperlink ref="A27" r:id="rId5" tooltip="BMED.MI" display="https://it.finance.yahoo.com/quote/BMED.MI/" xr:uid="{F1A5A51C-DC35-6044-9A3A-A529BFC305AE}"/>
    <hyperlink ref="A26" r:id="rId6" tooltip="IG.MI" display="https://it.finance.yahoo.com/quote/IG.MI/" xr:uid="{6F6B6899-17AA-F846-8192-7CA8EBC52FFE}"/>
    <hyperlink ref="A25" r:id="rId7" tooltip="ISP.MI" display="https://it.finance.yahoo.com/quote/ISP.MI/" xr:uid="{29203C6B-0A03-324B-AA57-76A81DD8CD1A}"/>
    <hyperlink ref="A24" r:id="rId8" tooltip="LTMC.MI" display="https://it.finance.yahoo.com/quote/LTMC.MI/" xr:uid="{7CAAF259-CF66-E143-BFFA-DD058BD5266D}"/>
    <hyperlink ref="A23" r:id="rId9" tooltip="MB.MI" display="https://it.finance.yahoo.com/quote/MB.MI/" xr:uid="{BE567854-322A-E94F-A8A1-AD12DAADBB83}"/>
    <hyperlink ref="A22" r:id="rId10" tooltip="CPR.MI" display="https://it.finance.yahoo.com/quote/CPR.MI/" xr:uid="{649DC14C-FDB3-D445-8544-5EF9FC22A3F3}"/>
    <hyperlink ref="A21" r:id="rId11" tooltip="TEN.MI" display="https://it.finance.yahoo.com/quote/TEN.MI/" xr:uid="{52C9A5F1-319C-3643-8968-DE0244ACFBA3}"/>
    <hyperlink ref="A20" r:id="rId12" tooltip="G.MI" display="https://it.finance.yahoo.com/quote/G.MI/" xr:uid="{AEE11598-DE86-D549-8820-6036D17D020D}"/>
    <hyperlink ref="A19" r:id="rId13" tooltip="BZU.MI" display="https://it.finance.yahoo.com/quote/BZU.MI/" xr:uid="{95A32771-4248-144D-A123-D24B30C026B1}"/>
    <hyperlink ref="A18" r:id="rId14" tooltip="REC.MI" display="https://it.finance.yahoo.com/quote/REC.MI/" xr:uid="{82265F04-F9D3-254A-98BF-428ADD0DE72C}"/>
    <hyperlink ref="A17" r:id="rId15" tooltip="DIA.MI" display="https://it.finance.yahoo.com/quote/DIA.MI/" xr:uid="{2FAB4883-3B41-F14F-9090-9A0340E97E34}"/>
    <hyperlink ref="A16" r:id="rId16" tooltip="ENI.MI" display="https://it.finance.yahoo.com/quote/ENI.MI/" xr:uid="{44A4ABDF-016F-7448-BE24-8749AC056B9D}"/>
    <hyperlink ref="A15" r:id="rId17" tooltip="RACE.MI" display="https://it.finance.yahoo.com/quote/RACE.MI/" xr:uid="{D69D87A0-FED4-634D-A259-58FD45177AB3}"/>
    <hyperlink ref="A14" r:id="rId18" tooltip="AMP.MI" display="https://it.finance.yahoo.com/quote/AMP.MI/" xr:uid="{6B6063E9-F697-F448-8C92-5ABE78F07468}"/>
    <hyperlink ref="A13" r:id="rId19" tooltip="BC.MI" display="https://it.finance.yahoo.com/quote/BC.MI/" xr:uid="{34B05F44-FD57-1041-9AA8-A330525AD95A}"/>
    <hyperlink ref="A12" r:id="rId20" tooltip="STLAM.MI" display="https://it.finance.yahoo.com/quote/STLAM.MI/" xr:uid="{FBAC97A2-ED96-E541-9E0F-01B96047A3EE}"/>
    <hyperlink ref="A11" r:id="rId21" tooltip="UNI.MI" display="https://it.finance.yahoo.com/quote/UNI.MI/" xr:uid="{BCE47321-8CFE-6F4E-94F3-AE82E0653460}"/>
    <hyperlink ref="A10" r:id="rId22" tooltip="MONC.MI" display="https://it.finance.yahoo.com/quote/MONC.MI/" xr:uid="{B693F551-CAFB-5047-A730-2FD444E0DA29}"/>
    <hyperlink ref="A9" r:id="rId23" tooltip="BAMI.MI" display="https://it.finance.yahoo.com/quote/BAMI.MI/" xr:uid="{DBBC5FA4-647A-2147-BFB4-909E8CEE6B0A}"/>
    <hyperlink ref="A8" r:id="rId24" tooltip="TRN.MI" display="https://it.finance.yahoo.com/quote/TRN.MI/" xr:uid="{033128C3-F054-9849-B317-0C48D5A5BBAF}"/>
    <hyperlink ref="A7" r:id="rId25" tooltip="SRG.MI" display="https://it.finance.yahoo.com/quote/SRG.MI/" xr:uid="{A38CC10C-7A02-7B42-A259-433F052BAB59}"/>
    <hyperlink ref="A6" r:id="rId26" tooltip="SPM.MI" display="https://it.finance.yahoo.com/quote/SPM.MI/" xr:uid="{84B3D7F3-E653-BD45-96C7-3FC8AB5EA3B6}"/>
    <hyperlink ref="A5" r:id="rId27" tooltip="BPE.MI" display="https://it.finance.yahoo.com/quote/BPE.MI/" xr:uid="{952DEE89-6E11-114A-A444-70A3F2A24775}"/>
    <hyperlink ref="A4" r:id="rId28" tooltip="PRY.MI" display="https://it.finance.yahoo.com/quote/PRY.MI/" xr:uid="{10B460E5-42D9-2F4C-AAE6-7A40746B7CEC}"/>
    <hyperlink ref="A3" r:id="rId29" tooltip="PST.MI" display="https://it.finance.yahoo.com/quote/PST.MI/" xr:uid="{D3140CD4-0E43-8141-B0A1-6ACB42E0EA1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869B-B6B1-BD41-92E5-8BC3753B209A}">
  <dimension ref="A1:C93"/>
  <sheetViews>
    <sheetView topLeftCell="A97" workbookViewId="0">
      <selection activeCell="A14" sqref="A14"/>
    </sheetView>
  </sheetViews>
  <sheetFormatPr baseColWidth="10" defaultRowHeight="15"/>
  <cols>
    <col min="1" max="1" width="19.6640625" bestFit="1" customWidth="1"/>
    <col min="2" max="2" width="101.3320312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>
      <c r="A2" s="197" t="s">
        <v>19</v>
      </c>
      <c r="B2" s="198" t="s">
        <v>2553</v>
      </c>
      <c r="C2" s="199" t="s">
        <v>28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1102</v>
      </c>
      <c r="B4" s="198" t="s">
        <v>2554</v>
      </c>
      <c r="C4" s="199" t="s">
        <v>28</v>
      </c>
    </row>
    <row r="5" spans="1:3">
      <c r="A5" s="197" t="s">
        <v>2574</v>
      </c>
      <c r="B5" s="198" t="s">
        <v>2573</v>
      </c>
      <c r="C5" s="199" t="s">
        <v>29</v>
      </c>
    </row>
    <row r="6" spans="1:3">
      <c r="A6" s="197" t="s">
        <v>1146</v>
      </c>
      <c r="B6" s="198" t="s">
        <v>2550</v>
      </c>
      <c r="C6" s="199" t="s">
        <v>28</v>
      </c>
    </row>
    <row r="7" spans="1:3">
      <c r="A7" s="197" t="s">
        <v>1855</v>
      </c>
      <c r="B7" s="198" t="s">
        <v>2551</v>
      </c>
      <c r="C7" s="199" t="s">
        <v>28</v>
      </c>
    </row>
    <row r="8" spans="1:3">
      <c r="A8" s="197" t="s">
        <v>2259</v>
      </c>
      <c r="B8" s="198" t="s">
        <v>2557</v>
      </c>
      <c r="C8" s="199" t="s">
        <v>28</v>
      </c>
    </row>
    <row r="9" spans="1:3">
      <c r="A9" s="197" t="s">
        <v>710</v>
      </c>
      <c r="B9" s="198" t="s">
        <v>711</v>
      </c>
      <c r="C9" s="199" t="s">
        <v>29</v>
      </c>
    </row>
    <row r="10" spans="1:3">
      <c r="A10" s="197" t="s">
        <v>20</v>
      </c>
      <c r="B10" s="198" t="s">
        <v>2552</v>
      </c>
      <c r="C10" s="199" t="s">
        <v>28</v>
      </c>
    </row>
    <row r="11" spans="1:3">
      <c r="A11" s="197" t="s">
        <v>1760</v>
      </c>
      <c r="B11" s="198" t="s">
        <v>2123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1757</v>
      </c>
      <c r="B13" s="198" t="s">
        <v>2556</v>
      </c>
      <c r="C13" s="199" t="s">
        <v>28</v>
      </c>
    </row>
    <row r="14" spans="1:3">
      <c r="A14" s="197" t="s">
        <v>1030</v>
      </c>
      <c r="B14" s="198" t="s">
        <v>1029</v>
      </c>
      <c r="C14" s="199" t="s">
        <v>29</v>
      </c>
    </row>
    <row r="15" spans="1:3">
      <c r="A15" s="197" t="s">
        <v>1090</v>
      </c>
      <c r="B15" s="198" t="s">
        <v>2085</v>
      </c>
      <c r="C15" s="199" t="s">
        <v>28</v>
      </c>
    </row>
    <row r="16" spans="1:3">
      <c r="A16" s="197" t="s">
        <v>1811</v>
      </c>
      <c r="B16" s="198" t="s">
        <v>1816</v>
      </c>
      <c r="C16" s="199" t="s">
        <v>28</v>
      </c>
    </row>
    <row r="17" spans="1:3">
      <c r="A17" s="197" t="s">
        <v>724</v>
      </c>
      <c r="B17" s="198" t="s">
        <v>2156</v>
      </c>
      <c r="C17" s="199" t="s">
        <v>29</v>
      </c>
    </row>
    <row r="18" spans="1:3">
      <c r="A18" s="197" t="s">
        <v>1747</v>
      </c>
      <c r="B18" s="198" t="s">
        <v>1823</v>
      </c>
      <c r="C18" s="199" t="s">
        <v>28</v>
      </c>
    </row>
    <row r="19" spans="1:3">
      <c r="A19" s="197" t="s">
        <v>2188</v>
      </c>
      <c r="B19" s="198" t="s">
        <v>2559</v>
      </c>
      <c r="C19" s="199" t="s">
        <v>28</v>
      </c>
    </row>
    <row r="20" spans="1:3">
      <c r="A20" s="197" t="s">
        <v>2255</v>
      </c>
      <c r="B20" s="198" t="s">
        <v>2555</v>
      </c>
      <c r="C20" s="199" t="s">
        <v>28</v>
      </c>
    </row>
    <row r="21" spans="1:3">
      <c r="A21" s="197" t="s">
        <v>1813</v>
      </c>
      <c r="B21" s="198" t="s">
        <v>1814</v>
      </c>
      <c r="C21" s="199" t="s">
        <v>28</v>
      </c>
    </row>
    <row r="22" spans="1:3">
      <c r="A22" s="197" t="s">
        <v>2240</v>
      </c>
      <c r="B22" s="198" t="s">
        <v>2375</v>
      </c>
      <c r="C22" s="199" t="s">
        <v>29</v>
      </c>
    </row>
    <row r="23" spans="1:3">
      <c r="A23" s="197" t="s">
        <v>2320</v>
      </c>
      <c r="B23" s="198" t="s">
        <v>2321</v>
      </c>
      <c r="C23" s="199" t="s">
        <v>29</v>
      </c>
    </row>
    <row r="24" spans="1:3">
      <c r="A24" s="197" t="s">
        <v>2343</v>
      </c>
      <c r="B24" s="198" t="s">
        <v>2532</v>
      </c>
      <c r="C24" s="199" t="s">
        <v>29</v>
      </c>
    </row>
    <row r="25" spans="1:3">
      <c r="A25" s="197" t="s">
        <v>2571</v>
      </c>
      <c r="B25" s="198" t="s">
        <v>2572</v>
      </c>
      <c r="C25" s="199" t="s">
        <v>28</v>
      </c>
    </row>
    <row r="26" spans="1:3">
      <c r="A26" s="197" t="s">
        <v>2138</v>
      </c>
      <c r="B26" s="198" t="s">
        <v>2146</v>
      </c>
      <c r="C26" s="199" t="s">
        <v>28</v>
      </c>
    </row>
    <row r="27" spans="1:3">
      <c r="A27" s="197" t="s">
        <v>2231</v>
      </c>
      <c r="B27" s="198" t="s">
        <v>2560</v>
      </c>
      <c r="C27" s="199" t="s">
        <v>28</v>
      </c>
    </row>
    <row r="28" spans="1:3">
      <c r="A28" s="197" t="s">
        <v>2242</v>
      </c>
      <c r="B28" s="198" t="s">
        <v>2561</v>
      </c>
      <c r="C28" s="199" t="s">
        <v>28</v>
      </c>
    </row>
    <row r="29" spans="1:3">
      <c r="A29" s="197" t="s">
        <v>2244</v>
      </c>
      <c r="B29" s="198" t="s">
        <v>2562</v>
      </c>
      <c r="C29" s="199" t="s">
        <v>28</v>
      </c>
    </row>
    <row r="30" spans="1:3">
      <c r="A30" s="197" t="s">
        <v>2090</v>
      </c>
      <c r="B30" s="198" t="s">
        <v>2087</v>
      </c>
      <c r="C30" s="199" t="s">
        <v>28</v>
      </c>
    </row>
    <row r="31" spans="1:3">
      <c r="A31" s="197" t="s">
        <v>718</v>
      </c>
      <c r="B31" s="198" t="s">
        <v>719</v>
      </c>
      <c r="C31" s="199" t="s">
        <v>29</v>
      </c>
    </row>
    <row r="32" spans="1:3">
      <c r="A32" s="197" t="s">
        <v>720</v>
      </c>
      <c r="B32" s="198" t="s">
        <v>721</v>
      </c>
      <c r="C32" s="199" t="s">
        <v>29</v>
      </c>
    </row>
    <row r="33" spans="1:3">
      <c r="A33" s="197" t="s">
        <v>785</v>
      </c>
      <c r="B33" s="198" t="s">
        <v>786</v>
      </c>
      <c r="C33" s="199" t="s">
        <v>29</v>
      </c>
    </row>
    <row r="34" spans="1:3">
      <c r="A34" s="197" t="s">
        <v>787</v>
      </c>
      <c r="B34" s="198" t="s">
        <v>788</v>
      </c>
      <c r="C34" s="199" t="s">
        <v>29</v>
      </c>
    </row>
    <row r="35" spans="1:3">
      <c r="A35" s="197" t="s">
        <v>792</v>
      </c>
      <c r="B35" s="198" t="s">
        <v>793</v>
      </c>
      <c r="C35" s="199" t="s">
        <v>28</v>
      </c>
    </row>
    <row r="36" spans="1:3">
      <c r="A36" s="197" t="s">
        <v>783</v>
      </c>
      <c r="B36" s="198" t="s">
        <v>784</v>
      </c>
      <c r="C36" s="199" t="s">
        <v>29</v>
      </c>
    </row>
    <row r="37" spans="1:3">
      <c r="A37" s="197" t="s">
        <v>712</v>
      </c>
      <c r="B37" s="198" t="s">
        <v>713</v>
      </c>
      <c r="C37" s="199" t="s">
        <v>29</v>
      </c>
    </row>
    <row r="38" spans="1:3">
      <c r="A38" s="197" t="s">
        <v>731</v>
      </c>
      <c r="B38" s="198" t="s">
        <v>732</v>
      </c>
      <c r="C38" s="199" t="s">
        <v>29</v>
      </c>
    </row>
    <row r="39" spans="1:3">
      <c r="A39" s="197" t="s">
        <v>733</v>
      </c>
      <c r="B39" s="198" t="s">
        <v>734</v>
      </c>
      <c r="C39" s="199" t="s">
        <v>29</v>
      </c>
    </row>
    <row r="40" spans="1:3">
      <c r="A40" s="197" t="s">
        <v>735</v>
      </c>
      <c r="B40" s="198" t="s">
        <v>736</v>
      </c>
      <c r="C40" s="199" t="s">
        <v>29</v>
      </c>
    </row>
    <row r="41" spans="1:3">
      <c r="A41" s="197" t="s">
        <v>737</v>
      </c>
      <c r="B41" s="198" t="s">
        <v>738</v>
      </c>
      <c r="C41" s="199" t="s">
        <v>29</v>
      </c>
    </row>
    <row r="42" spans="1:3">
      <c r="A42" s="197" t="s">
        <v>739</v>
      </c>
      <c r="B42" s="198" t="s">
        <v>740</v>
      </c>
      <c r="C42" s="199" t="s">
        <v>29</v>
      </c>
    </row>
    <row r="43" spans="1:3">
      <c r="A43" s="197" t="s">
        <v>741</v>
      </c>
      <c r="B43" s="198" t="s">
        <v>742</v>
      </c>
      <c r="C43" s="199" t="s">
        <v>29</v>
      </c>
    </row>
    <row r="44" spans="1:3">
      <c r="A44" s="197" t="s">
        <v>1068</v>
      </c>
      <c r="B44" s="198" t="s">
        <v>1068</v>
      </c>
      <c r="C44" s="199" t="s">
        <v>29</v>
      </c>
    </row>
    <row r="45" spans="1:3">
      <c r="A45" s="197" t="s">
        <v>100</v>
      </c>
      <c r="B45" s="198" t="s">
        <v>2235</v>
      </c>
      <c r="C45" s="199" t="s">
        <v>28</v>
      </c>
    </row>
    <row r="46" spans="1:3">
      <c r="A46" s="197" t="s">
        <v>76</v>
      </c>
      <c r="B46" s="198" t="s">
        <v>2236</v>
      </c>
      <c r="C46" s="199" t="s">
        <v>28</v>
      </c>
    </row>
    <row r="47" spans="1:3">
      <c r="A47" s="197" t="s">
        <v>1044</v>
      </c>
      <c r="B47" s="198" t="s">
        <v>2237</v>
      </c>
      <c r="C47" s="199" t="s">
        <v>28</v>
      </c>
    </row>
    <row r="48" spans="1:3">
      <c r="A48" s="197" t="s">
        <v>928</v>
      </c>
      <c r="B48" s="198" t="s">
        <v>2268</v>
      </c>
      <c r="C48" s="199" t="s">
        <v>28</v>
      </c>
    </row>
    <row r="49" spans="1:3">
      <c r="A49" s="197" t="s">
        <v>2269</v>
      </c>
      <c r="B49" s="198" t="s">
        <v>2270</v>
      </c>
      <c r="C49" s="199" t="s">
        <v>28</v>
      </c>
    </row>
    <row r="50" spans="1:3">
      <c r="A50" s="197" t="s">
        <v>2271</v>
      </c>
      <c r="B50" s="198" t="s">
        <v>2272</v>
      </c>
      <c r="C50" s="199" t="s">
        <v>28</v>
      </c>
    </row>
    <row r="51" spans="1:3">
      <c r="A51" s="197" t="s">
        <v>2273</v>
      </c>
      <c r="B51" s="198" t="s">
        <v>2274</v>
      </c>
      <c r="C51" s="199" t="s">
        <v>28</v>
      </c>
    </row>
    <row r="52" spans="1:3">
      <c r="A52" s="197" t="s">
        <v>2275</v>
      </c>
      <c r="B52" s="198" t="s">
        <v>2276</v>
      </c>
      <c r="C52" s="199" t="s">
        <v>28</v>
      </c>
    </row>
    <row r="53" spans="1:3">
      <c r="A53" s="197" t="s">
        <v>2277</v>
      </c>
      <c r="B53" s="198" t="s">
        <v>2278</v>
      </c>
      <c r="C53" s="199" t="s">
        <v>28</v>
      </c>
    </row>
    <row r="54" spans="1:3">
      <c r="A54" s="197" t="s">
        <v>2279</v>
      </c>
      <c r="B54" s="198" t="s">
        <v>2280</v>
      </c>
      <c r="C54" s="199" t="s">
        <v>28</v>
      </c>
    </row>
    <row r="55" spans="1:3">
      <c r="A55" s="197" t="s">
        <v>2281</v>
      </c>
      <c r="B55" s="198" t="s">
        <v>2282</v>
      </c>
      <c r="C55" s="199" t="s">
        <v>28</v>
      </c>
    </row>
    <row r="56" spans="1:3">
      <c r="A56" s="197" t="s">
        <v>2283</v>
      </c>
      <c r="B56" s="198" t="s">
        <v>2284</v>
      </c>
      <c r="C56" s="199" t="s">
        <v>28</v>
      </c>
    </row>
    <row r="57" spans="1:3">
      <c r="A57" s="197" t="s">
        <v>2285</v>
      </c>
      <c r="B57" s="198" t="s">
        <v>2286</v>
      </c>
      <c r="C57" s="199" t="s">
        <v>28</v>
      </c>
    </row>
    <row r="58" spans="1:3">
      <c r="A58" s="197" t="s">
        <v>2287</v>
      </c>
      <c r="B58" s="198" t="s">
        <v>2288</v>
      </c>
      <c r="C58" s="199" t="s">
        <v>28</v>
      </c>
    </row>
    <row r="59" spans="1:3">
      <c r="A59" s="197" t="s">
        <v>2289</v>
      </c>
      <c r="B59" s="198" t="s">
        <v>2290</v>
      </c>
      <c r="C59" s="199" t="s">
        <v>28</v>
      </c>
    </row>
    <row r="60" spans="1:3">
      <c r="A60" s="197" t="s">
        <v>2291</v>
      </c>
      <c r="B60" s="198" t="s">
        <v>2292</v>
      </c>
      <c r="C60" s="199" t="s">
        <v>28</v>
      </c>
    </row>
    <row r="61" spans="1:3">
      <c r="A61" s="197" t="s">
        <v>918</v>
      </c>
      <c r="B61" s="198" t="s">
        <v>2293</v>
      </c>
      <c r="C61" s="199" t="s">
        <v>28</v>
      </c>
    </row>
    <row r="62" spans="1:3">
      <c r="A62" s="197" t="s">
        <v>2294</v>
      </c>
      <c r="B62" s="198" t="s">
        <v>2295</v>
      </c>
      <c r="C62" s="199" t="s">
        <v>28</v>
      </c>
    </row>
    <row r="63" spans="1:3">
      <c r="A63" s="197" t="s">
        <v>2296</v>
      </c>
      <c r="B63" s="198" t="s">
        <v>2297</v>
      </c>
      <c r="C63" s="199" t="s">
        <v>28</v>
      </c>
    </row>
    <row r="64" spans="1:3">
      <c r="A64" s="197" t="s">
        <v>2298</v>
      </c>
      <c r="B64" s="198" t="s">
        <v>2299</v>
      </c>
      <c r="C64" s="199" t="s">
        <v>28</v>
      </c>
    </row>
    <row r="65" spans="1:3">
      <c r="A65" s="197" t="s">
        <v>2300</v>
      </c>
      <c r="B65" s="198" t="s">
        <v>2301</v>
      </c>
      <c r="C65" s="199" t="s">
        <v>28</v>
      </c>
    </row>
    <row r="66" spans="1:3">
      <c r="A66" s="197" t="s">
        <v>2302</v>
      </c>
      <c r="B66" s="198" t="s">
        <v>2303</v>
      </c>
      <c r="C66" s="199" t="s">
        <v>28</v>
      </c>
    </row>
    <row r="67" spans="1:3">
      <c r="A67" s="197" t="s">
        <v>930</v>
      </c>
      <c r="B67" s="198" t="s">
        <v>2304</v>
      </c>
      <c r="C67" s="199" t="s">
        <v>28</v>
      </c>
    </row>
    <row r="68" spans="1:3">
      <c r="A68" s="197" t="s">
        <v>2305</v>
      </c>
      <c r="B68" s="198" t="s">
        <v>2306</v>
      </c>
      <c r="C68" s="199" t="s">
        <v>28</v>
      </c>
    </row>
    <row r="69" spans="1:3">
      <c r="A69" s="197" t="s">
        <v>2307</v>
      </c>
      <c r="B69" s="198" t="s">
        <v>2308</v>
      </c>
      <c r="C69" s="199" t="s">
        <v>28</v>
      </c>
    </row>
    <row r="70" spans="1:3">
      <c r="A70" s="197" t="s">
        <v>920</v>
      </c>
      <c r="B70" s="198" t="s">
        <v>2309</v>
      </c>
      <c r="C70" s="199" t="s">
        <v>28</v>
      </c>
    </row>
    <row r="71" spans="1:3">
      <c r="A71" s="197" t="s">
        <v>2310</v>
      </c>
      <c r="B71" s="198" t="s">
        <v>2311</v>
      </c>
      <c r="C71" s="199" t="s">
        <v>28</v>
      </c>
    </row>
    <row r="72" spans="1:3">
      <c r="A72" s="197" t="s">
        <v>2312</v>
      </c>
      <c r="B72" s="198" t="s">
        <v>2313</v>
      </c>
      <c r="C72" s="199" t="s">
        <v>28</v>
      </c>
    </row>
    <row r="73" spans="1:3">
      <c r="A73" s="197" t="s">
        <v>922</v>
      </c>
      <c r="B73" s="198" t="s">
        <v>2314</v>
      </c>
      <c r="C73" s="199" t="s">
        <v>28</v>
      </c>
    </row>
    <row r="74" spans="1:3">
      <c r="A74" s="197" t="s">
        <v>815</v>
      </c>
      <c r="B74" s="198" t="s">
        <v>2315</v>
      </c>
      <c r="C74" s="199" t="s">
        <v>28</v>
      </c>
    </row>
    <row r="75" spans="1:3">
      <c r="A75" s="197" t="s">
        <v>2316</v>
      </c>
      <c r="B75" s="198" t="s">
        <v>2317</v>
      </c>
      <c r="C75" s="199" t="s">
        <v>28</v>
      </c>
    </row>
    <row r="76" spans="1:3">
      <c r="A76" s="197" t="s">
        <v>2318</v>
      </c>
      <c r="B76" s="198" t="s">
        <v>2319</v>
      </c>
      <c r="C76" s="199" t="s">
        <v>28</v>
      </c>
    </row>
    <row r="77" spans="1:3">
      <c r="A77" s="197" t="s">
        <v>2202</v>
      </c>
      <c r="B77" s="198" t="s">
        <v>2575</v>
      </c>
      <c r="C77" s="199" t="s">
        <v>28</v>
      </c>
    </row>
    <row r="78" spans="1:3">
      <c r="A78" s="197" t="s">
        <v>2576</v>
      </c>
      <c r="B78" s="198" t="s">
        <v>2577</v>
      </c>
      <c r="C78" s="199" t="s">
        <v>28</v>
      </c>
    </row>
    <row r="79" spans="1:3">
      <c r="A79" s="197" t="s">
        <v>794</v>
      </c>
      <c r="B79" s="198" t="s">
        <v>2578</v>
      </c>
      <c r="C79" s="199" t="s">
        <v>29</v>
      </c>
    </row>
    <row r="80" spans="1:3">
      <c r="A80" s="197" t="s">
        <v>2580</v>
      </c>
      <c r="B80" s="198" t="s">
        <v>2579</v>
      </c>
      <c r="C80" s="199" t="s">
        <v>29</v>
      </c>
    </row>
    <row r="81" spans="1:3">
      <c r="A81" s="197" t="s">
        <v>2581</v>
      </c>
      <c r="B81" s="198" t="s">
        <v>2582</v>
      </c>
      <c r="C81" s="199" t="s">
        <v>28</v>
      </c>
    </row>
    <row r="82" spans="1:3">
      <c r="A82" s="197" t="s">
        <v>2217</v>
      </c>
      <c r="B82" s="198" t="s">
        <v>2584</v>
      </c>
      <c r="C82" s="199" t="s">
        <v>2345</v>
      </c>
    </row>
    <row r="83" spans="1:3">
      <c r="A83" s="197" t="s">
        <v>2571</v>
      </c>
      <c r="B83" s="198" t="s">
        <v>2585</v>
      </c>
      <c r="C83" s="199" t="s">
        <v>28</v>
      </c>
    </row>
    <row r="84" spans="1:3">
      <c r="A84" s="197" t="s">
        <v>2586</v>
      </c>
      <c r="B84" s="198" t="s">
        <v>2587</v>
      </c>
      <c r="C84" s="199" t="s">
        <v>29</v>
      </c>
    </row>
    <row r="85" spans="1:3">
      <c r="A85" s="197" t="s">
        <v>2217</v>
      </c>
      <c r="B85" s="198" t="s">
        <v>2588</v>
      </c>
      <c r="C85" s="199" t="s">
        <v>28</v>
      </c>
    </row>
    <row r="86" spans="1:3">
      <c r="A86" s="197" t="s">
        <v>2589</v>
      </c>
      <c r="B86" s="198" t="s">
        <v>2590</v>
      </c>
      <c r="C86" s="199" t="s">
        <v>819</v>
      </c>
    </row>
    <row r="87" spans="1:3">
      <c r="A87" s="197" t="s">
        <v>2591</v>
      </c>
      <c r="B87" s="198" t="s">
        <v>2592</v>
      </c>
      <c r="C87" s="199" t="s">
        <v>28</v>
      </c>
    </row>
    <row r="88" spans="1:3">
      <c r="A88" s="197" t="s">
        <v>2593</v>
      </c>
      <c r="B88" s="198" t="s">
        <v>2594</v>
      </c>
      <c r="C88" s="199" t="s">
        <v>29</v>
      </c>
    </row>
    <row r="89" spans="1:3">
      <c r="A89" s="197" t="s">
        <v>2595</v>
      </c>
      <c r="B89" s="198" t="s">
        <v>2596</v>
      </c>
      <c r="C89" s="199" t="s">
        <v>28</v>
      </c>
    </row>
    <row r="90" spans="1:3">
      <c r="A90" s="197" t="s">
        <v>2597</v>
      </c>
      <c r="B90" s="198" t="s">
        <v>2598</v>
      </c>
      <c r="C90" s="199" t="s">
        <v>29</v>
      </c>
    </row>
    <row r="91" spans="1:3">
      <c r="A91" s="197" t="s">
        <v>2599</v>
      </c>
      <c r="B91" s="198" t="s">
        <v>2600</v>
      </c>
      <c r="C91" s="199" t="s">
        <v>28</v>
      </c>
    </row>
    <row r="92" spans="1:3">
      <c r="A92" s="197" t="s">
        <v>2601</v>
      </c>
      <c r="B92" s="198" t="s">
        <v>2602</v>
      </c>
      <c r="C92" s="199" t="s">
        <v>28</v>
      </c>
    </row>
    <row r="93" spans="1:3">
      <c r="A93" s="197" t="s">
        <v>2603</v>
      </c>
      <c r="B93" s="198" t="s">
        <v>2604</v>
      </c>
      <c r="C93" s="199" t="s">
        <v>28</v>
      </c>
    </row>
  </sheetData>
  <hyperlinks>
    <hyperlink ref="A31" r:id="rId1" display="https://www.lazyportfolioetf.com/etf/spdr-gold-trust-gld/" xr:uid="{A642E556-137E-FA42-B3D8-D097A7F0AF45}"/>
    <hyperlink ref="B31" r:id="rId2" display="https://www.lazyportfolioetf.com/etf/spdr-gold-trust-gld/" xr:uid="{28DA8821-3C38-8E4A-BC56-FD76AAD72E12}"/>
    <hyperlink ref="A32" r:id="rId3" display="https://www.lazyportfolioetf.com/etf/ishares-sp-gsci-commodity-indexed-trust-gsg/" xr:uid="{79C70A09-749A-924D-8F53-8A4A712F04DA}"/>
    <hyperlink ref="B32" r:id="rId4" display="https://www.lazyportfolioetf.com/etf/ishares-sp-gsci-commodity-indexed-trust-gsg/" xr:uid="{FE2D6AA7-0A4C-B04E-B965-7806444BC887}"/>
    <hyperlink ref="A37" r:id="rId5" display="https://www.lazyportfolioetf.com/etf/vanguard-total-stock-market-vti/" xr:uid="{116D78ED-EAC9-6247-8893-BD70A5B3875F}"/>
    <hyperlink ref="B37" r:id="rId6" display="https://www.lazyportfolioetf.com/etf/vanguard-total-stock-market-vti/" xr:uid="{7568FDF7-7C82-D443-969F-2B235657DB17}"/>
    <hyperlink ref="A48" r:id="rId7" tooltip="PST.MI" display="https://it.finance.yahoo.com/quote/PST.MI/" xr:uid="{C38D8561-48EA-DA43-AFC7-96216129CDB2}"/>
    <hyperlink ref="A49" r:id="rId8" tooltip="PRY.MI" display="https://it.finance.yahoo.com/quote/PRY.MI/" xr:uid="{FDBBD93D-E00D-694B-AD31-CA6553404A1B}"/>
    <hyperlink ref="A50" r:id="rId9" tooltip="BPE.MI" display="https://it.finance.yahoo.com/quote/BPE.MI/" xr:uid="{0F05D43E-7F7E-904F-9C4D-434E04DD75DE}"/>
    <hyperlink ref="A51" r:id="rId10" tooltip="SPM.MI" display="https://it.finance.yahoo.com/quote/SPM.MI/" xr:uid="{2D4A229B-02BF-8646-AC6C-1B8C815FB2B2}"/>
    <hyperlink ref="A52" r:id="rId11" tooltip="SRG.MI" display="https://it.finance.yahoo.com/quote/SRG.MI/" xr:uid="{8FC01E5D-320B-5249-949A-2FAA7EF17254}"/>
    <hyperlink ref="A53" r:id="rId12" tooltip="TRN.MI" display="https://it.finance.yahoo.com/quote/TRN.MI/" xr:uid="{80C06EEA-E1AA-3144-8469-F77137FB9421}"/>
    <hyperlink ref="A54" r:id="rId13" tooltip="BAMI.MI" display="https://it.finance.yahoo.com/quote/BAMI.MI/" xr:uid="{937DB6DC-3D32-9347-89BA-17E78A8C4EFB}"/>
    <hyperlink ref="A55" r:id="rId14" tooltip="MONC.MI" display="https://it.finance.yahoo.com/quote/MONC.MI/" xr:uid="{286E97E1-BD78-7C4A-AA60-FC27662E53CF}"/>
    <hyperlink ref="A56" r:id="rId15" tooltip="UNI.MI" display="https://it.finance.yahoo.com/quote/UNI.MI/" xr:uid="{D46A7722-7BAE-A64E-B612-13F69309B632}"/>
    <hyperlink ref="A57" r:id="rId16" tooltip="STLAM.MI" display="https://it.finance.yahoo.com/quote/STLAM.MI/" xr:uid="{30CA211E-AE81-E743-8038-75EF4C4C71C5}"/>
    <hyperlink ref="A58" r:id="rId17" tooltip="BC.MI" display="https://it.finance.yahoo.com/quote/BC.MI/" xr:uid="{AC0C8DD1-7F4E-8B4A-95FC-BD2716357A19}"/>
    <hyperlink ref="A59" r:id="rId18" tooltip="AMP.MI" display="https://it.finance.yahoo.com/quote/AMP.MI/" xr:uid="{CADDA8D1-4E2F-044C-B6E5-49B8D1077F9F}"/>
    <hyperlink ref="A60" r:id="rId19" tooltip="RACE.MI" display="https://it.finance.yahoo.com/quote/RACE.MI/" xr:uid="{51670226-524B-6043-A147-71E8F035B4D5}"/>
    <hyperlink ref="A61" r:id="rId20" tooltip="ENI.MI" display="https://it.finance.yahoo.com/quote/ENI.MI/" xr:uid="{7B995152-5829-2344-8B50-3EBCA6D60D49}"/>
    <hyperlink ref="A62" r:id="rId21" tooltip="DIA.MI" display="https://it.finance.yahoo.com/quote/DIA.MI/" xr:uid="{4BF7FF04-4EFE-8142-8A4F-E6AED8B13F4B}"/>
    <hyperlink ref="A63" r:id="rId22" tooltip="REC.MI" display="https://it.finance.yahoo.com/quote/REC.MI/" xr:uid="{B3F38C93-63C2-2749-A7E5-DF7A28086364}"/>
    <hyperlink ref="A64" r:id="rId23" tooltip="BZU.MI" display="https://it.finance.yahoo.com/quote/BZU.MI/" xr:uid="{D19F3835-4794-8940-A333-F60812492E58}"/>
    <hyperlink ref="A65" r:id="rId24" tooltip="G.MI" display="https://it.finance.yahoo.com/quote/G.MI/" xr:uid="{791C90E1-30A7-324F-BA61-95295E2C8C3E}"/>
    <hyperlink ref="A66" r:id="rId25" tooltip="TEN.MI" display="https://it.finance.yahoo.com/quote/TEN.MI/" xr:uid="{51AACD83-D8AA-7A45-9429-51299F402205}"/>
    <hyperlink ref="A67" r:id="rId26" tooltip="CPR.MI" display="https://it.finance.yahoo.com/quote/CPR.MI/" xr:uid="{B90608BF-E137-8B4E-B528-49714876C658}"/>
    <hyperlink ref="A68" r:id="rId27" tooltip="MB.MI" display="https://it.finance.yahoo.com/quote/MB.MI/" xr:uid="{8E04612F-80A0-A24A-8265-19D51F6755F4}"/>
    <hyperlink ref="A69" r:id="rId28" tooltip="LTMC.MI" display="https://it.finance.yahoo.com/quote/LTMC.MI/" xr:uid="{62FE0B04-3FE0-BC40-8EFE-46FF8D84277A}"/>
    <hyperlink ref="A70" r:id="rId29" tooltip="ISP.MI" display="https://it.finance.yahoo.com/quote/ISP.MI/" xr:uid="{633DF988-3777-7947-B672-DDD10EC08821}"/>
    <hyperlink ref="A71" r:id="rId30" tooltip="IG.MI" display="https://it.finance.yahoo.com/quote/IG.MI/" xr:uid="{FE71052A-B40E-E742-905C-DA5EF380072C}"/>
    <hyperlink ref="A72" r:id="rId31" tooltip="BMED.MI" display="https://it.finance.yahoo.com/quote/BMED.MI/" xr:uid="{BA01BEBF-05B2-194D-8EB4-573F5837ADDF}"/>
    <hyperlink ref="A73" r:id="rId32" tooltip="LDO.MI" display="https://it.finance.yahoo.com/quote/LDO.MI/" xr:uid="{8CE71688-CF48-1F41-9D43-451F26D50FF4}"/>
    <hyperlink ref="A74" r:id="rId33" tooltip="TIT.MI" display="https://it.finance.yahoo.com/quote/TIT.MI/" xr:uid="{BA5F9274-39CD-5048-B452-087925BAEB3F}"/>
    <hyperlink ref="A75" r:id="rId34" tooltip="AZM.MI" display="https://it.finance.yahoo.com/quote/AZM.MI/" xr:uid="{8AD8F9D9-A6B9-E04D-A034-CDCB6E093D38}"/>
    <hyperlink ref="A76" r:id="rId35" tooltip="FBK.MI" display="https://it.finance.yahoo.com/quote/FBK.MI/" xr:uid="{EE6842A6-06E5-E249-9045-61B3D5FA1C08}"/>
    <hyperlink ref="B91" r:id="rId36" display="https://finance.yahoo.com/quote/XSDG.F/" xr:uid="{816B9AFB-9025-E745-A6E6-47D593D60B2B}"/>
    <hyperlink ref="B93" r:id="rId37" display="https://finance.yahoo.com/quote/NNN0.F/" xr:uid="{73AB1DFB-50DD-814A-A9D8-8A49FCC1391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D4F4-160F-A549-99A2-7DF2A7BBE1D2}">
  <dimension ref="A1:C94"/>
  <sheetViews>
    <sheetView workbookViewId="0">
      <selection activeCell="A7" sqref="A7:C7"/>
    </sheetView>
  </sheetViews>
  <sheetFormatPr baseColWidth="10" defaultRowHeight="15"/>
  <cols>
    <col min="1" max="1" width="19.664062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>
      <c r="A2" s="197" t="s">
        <v>710</v>
      </c>
      <c r="B2" s="198" t="s">
        <v>711</v>
      </c>
      <c r="C2" s="199" t="s">
        <v>29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1146</v>
      </c>
      <c r="B4" s="198" t="s">
        <v>2550</v>
      </c>
      <c r="C4" s="199" t="s">
        <v>28</v>
      </c>
    </row>
    <row r="5" spans="1:3">
      <c r="A5" s="197" t="s">
        <v>1855</v>
      </c>
      <c r="B5" s="198" t="s">
        <v>2551</v>
      </c>
      <c r="C5" s="199" t="s">
        <v>28</v>
      </c>
    </row>
    <row r="6" spans="1:3">
      <c r="A6" s="197" t="s">
        <v>20</v>
      </c>
      <c r="B6" s="198" t="s">
        <v>2552</v>
      </c>
      <c r="C6" s="199" t="s">
        <v>28</v>
      </c>
    </row>
    <row r="7" spans="1:3">
      <c r="A7" s="197" t="s">
        <v>19</v>
      </c>
      <c r="B7" s="198" t="s">
        <v>2553</v>
      </c>
      <c r="C7" s="199" t="s">
        <v>28</v>
      </c>
    </row>
    <row r="8" spans="1:3">
      <c r="A8" s="197" t="s">
        <v>1102</v>
      </c>
      <c r="B8" s="198" t="s">
        <v>2554</v>
      </c>
      <c r="C8" s="199" t="s">
        <v>28</v>
      </c>
    </row>
    <row r="9" spans="1:3">
      <c r="A9" s="197" t="s">
        <v>2255</v>
      </c>
      <c r="B9" s="198" t="s">
        <v>2555</v>
      </c>
      <c r="C9" s="199" t="s">
        <v>28</v>
      </c>
    </row>
    <row r="10" spans="1:3">
      <c r="A10" s="197" t="s">
        <v>1757</v>
      </c>
      <c r="B10" s="198" t="s">
        <v>2556</v>
      </c>
      <c r="C10" s="199" t="s">
        <v>28</v>
      </c>
    </row>
    <row r="11" spans="1:3">
      <c r="A11" s="197" t="s">
        <v>2259</v>
      </c>
      <c r="B11" s="198" t="s">
        <v>2557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2188</v>
      </c>
      <c r="B13" s="198" t="s">
        <v>2559</v>
      </c>
      <c r="C13" s="199" t="s">
        <v>28</v>
      </c>
    </row>
    <row r="14" spans="1:3">
      <c r="A14" s="197" t="s">
        <v>2231</v>
      </c>
      <c r="B14" s="198" t="s">
        <v>2560</v>
      </c>
      <c r="C14" s="199" t="s">
        <v>28</v>
      </c>
    </row>
    <row r="15" spans="1:3">
      <c r="A15" s="197" t="s">
        <v>2242</v>
      </c>
      <c r="B15" s="198" t="s">
        <v>2561</v>
      </c>
      <c r="C15" s="199" t="s">
        <v>28</v>
      </c>
    </row>
    <row r="16" spans="1:3">
      <c r="A16" s="197" t="s">
        <v>2244</v>
      </c>
      <c r="B16" s="198" t="s">
        <v>2562</v>
      </c>
      <c r="C16" s="199" t="s">
        <v>28</v>
      </c>
    </row>
    <row r="17" spans="1:3">
      <c r="A17" s="197" t="s">
        <v>2240</v>
      </c>
      <c r="B17" s="198" t="s">
        <v>2375</v>
      </c>
      <c r="C17" s="199" t="s">
        <v>29</v>
      </c>
    </row>
    <row r="18" spans="1:3">
      <c r="A18" s="197" t="s">
        <v>2320</v>
      </c>
      <c r="B18" s="198" t="s">
        <v>2321</v>
      </c>
      <c r="C18" s="199" t="s">
        <v>29</v>
      </c>
    </row>
    <row r="19" spans="1:3">
      <c r="A19" s="197" t="s">
        <v>2343</v>
      </c>
      <c r="B19" s="198" t="s">
        <v>2532</v>
      </c>
      <c r="C19" s="199" t="s">
        <v>29</v>
      </c>
    </row>
    <row r="20" spans="1:3">
      <c r="A20" s="197" t="s">
        <v>2574</v>
      </c>
      <c r="B20" s="198" t="s">
        <v>2573</v>
      </c>
      <c r="C20" s="199" t="s">
        <v>29</v>
      </c>
    </row>
    <row r="21" spans="1:3">
      <c r="A21" s="197" t="s">
        <v>2571</v>
      </c>
      <c r="B21" s="198" t="s">
        <v>2572</v>
      </c>
      <c r="C21" s="199" t="s">
        <v>28</v>
      </c>
    </row>
    <row r="22" spans="1:3">
      <c r="A22" s="196" t="s">
        <v>1030</v>
      </c>
      <c r="B22" s="203" t="s">
        <v>1029</v>
      </c>
      <c r="C22" s="196" t="s">
        <v>29</v>
      </c>
    </row>
    <row r="23" spans="1:3">
      <c r="A23" s="212" t="s">
        <v>724</v>
      </c>
      <c r="B23" s="212" t="s">
        <v>2156</v>
      </c>
      <c r="C23" s="210" t="s">
        <v>29</v>
      </c>
    </row>
    <row r="24" spans="1:3">
      <c r="A24" s="211" t="s">
        <v>718</v>
      </c>
      <c r="B24" s="211" t="s">
        <v>719</v>
      </c>
      <c r="C24" s="196" t="s">
        <v>29</v>
      </c>
    </row>
    <row r="25" spans="1:3">
      <c r="A25" s="212" t="s">
        <v>720</v>
      </c>
      <c r="B25" s="212" t="s">
        <v>721</v>
      </c>
      <c r="C25" s="210" t="s">
        <v>29</v>
      </c>
    </row>
    <row r="26" spans="1:3">
      <c r="A26" s="215" t="s">
        <v>1090</v>
      </c>
      <c r="B26" s="215" t="s">
        <v>2085</v>
      </c>
      <c r="C26" s="196" t="s">
        <v>28</v>
      </c>
    </row>
    <row r="27" spans="1:3">
      <c r="A27" s="215" t="s">
        <v>1760</v>
      </c>
      <c r="B27" s="203" t="s">
        <v>2123</v>
      </c>
      <c r="C27" s="196" t="s">
        <v>28</v>
      </c>
    </row>
    <row r="28" spans="1:3">
      <c r="A28" s="216" t="s">
        <v>2090</v>
      </c>
      <c r="B28" s="216" t="s">
        <v>2087</v>
      </c>
      <c r="C28" s="210" t="s">
        <v>28</v>
      </c>
    </row>
    <row r="29" spans="1:3">
      <c r="A29" s="211" t="s">
        <v>712</v>
      </c>
      <c r="B29" s="212" t="s">
        <v>713</v>
      </c>
      <c r="C29" s="196" t="s">
        <v>29</v>
      </c>
    </row>
    <row r="30" spans="1:3">
      <c r="A30" s="213" t="s">
        <v>731</v>
      </c>
      <c r="B30" s="214" t="s">
        <v>732</v>
      </c>
      <c r="C30" s="196" t="s">
        <v>29</v>
      </c>
    </row>
    <row r="31" spans="1:3">
      <c r="A31" s="213" t="s">
        <v>733</v>
      </c>
      <c r="B31" s="203" t="s">
        <v>734</v>
      </c>
      <c r="C31" s="196" t="s">
        <v>29</v>
      </c>
    </row>
    <row r="32" spans="1:3">
      <c r="A32" s="213" t="s">
        <v>735</v>
      </c>
      <c r="B32" s="203" t="s">
        <v>736</v>
      </c>
      <c r="C32" s="196" t="s">
        <v>29</v>
      </c>
    </row>
    <row r="33" spans="1:3">
      <c r="A33" s="213" t="s">
        <v>737</v>
      </c>
      <c r="B33" s="214" t="s">
        <v>738</v>
      </c>
      <c r="C33" s="196" t="s">
        <v>29</v>
      </c>
    </row>
    <row r="34" spans="1:3">
      <c r="A34" s="213" t="s">
        <v>739</v>
      </c>
      <c r="B34" s="214" t="s">
        <v>740</v>
      </c>
      <c r="C34" s="196" t="s">
        <v>29</v>
      </c>
    </row>
    <row r="35" spans="1:3">
      <c r="A35" s="213" t="s">
        <v>741</v>
      </c>
      <c r="B35" s="214" t="s">
        <v>742</v>
      </c>
      <c r="C35" s="196" t="s">
        <v>29</v>
      </c>
    </row>
    <row r="36" spans="1:3">
      <c r="A36" s="201" t="s">
        <v>1813</v>
      </c>
      <c r="B36" s="210" t="s">
        <v>1814</v>
      </c>
      <c r="C36" s="210" t="s">
        <v>28</v>
      </c>
    </row>
    <row r="37" spans="1:3">
      <c r="A37" s="196" t="s">
        <v>1747</v>
      </c>
      <c r="B37" s="203" t="s">
        <v>1823</v>
      </c>
      <c r="C37" s="196" t="s">
        <v>28</v>
      </c>
    </row>
    <row r="38" spans="1:3">
      <c r="A38" s="196" t="s">
        <v>1811</v>
      </c>
      <c r="B38" s="203" t="s">
        <v>1816</v>
      </c>
      <c r="C38" s="196" t="s">
        <v>28</v>
      </c>
    </row>
    <row r="39" spans="1:3">
      <c r="A39" s="202" t="s">
        <v>785</v>
      </c>
      <c r="B39" s="202" t="s">
        <v>786</v>
      </c>
      <c r="C39" s="202" t="s">
        <v>29</v>
      </c>
    </row>
    <row r="40" spans="1:3">
      <c r="A40" s="202" t="s">
        <v>787</v>
      </c>
      <c r="B40" s="202" t="s">
        <v>788</v>
      </c>
      <c r="C40" s="202" t="s">
        <v>29</v>
      </c>
    </row>
    <row r="41" spans="1:3">
      <c r="A41" s="208" t="s">
        <v>792</v>
      </c>
      <c r="B41" s="203" t="s">
        <v>793</v>
      </c>
      <c r="C41" s="209" t="s">
        <v>28</v>
      </c>
    </row>
    <row r="42" spans="1:3">
      <c r="A42" s="202" t="s">
        <v>783</v>
      </c>
      <c r="B42" s="203" t="s">
        <v>784</v>
      </c>
      <c r="C42" s="202" t="s">
        <v>29</v>
      </c>
    </row>
    <row r="43" spans="1:3">
      <c r="A43" s="218" t="s">
        <v>1068</v>
      </c>
      <c r="B43" s="218" t="s">
        <v>1068</v>
      </c>
      <c r="C43" s="218" t="s">
        <v>29</v>
      </c>
    </row>
    <row r="44" spans="1:3">
      <c r="A44" s="208" t="s">
        <v>2138</v>
      </c>
      <c r="B44" s="218" t="s">
        <v>2146</v>
      </c>
      <c r="C44" s="218" t="s">
        <v>28</v>
      </c>
    </row>
    <row r="45" spans="1:3">
      <c r="A45" s="216" t="s">
        <v>2090</v>
      </c>
      <c r="B45" s="216" t="s">
        <v>2087</v>
      </c>
      <c r="C45" s="210" t="s">
        <v>28</v>
      </c>
    </row>
    <row r="46" spans="1:3">
      <c r="A46" s="216" t="s">
        <v>2090</v>
      </c>
      <c r="B46" s="216" t="s">
        <v>2087</v>
      </c>
      <c r="C46" s="210" t="s">
        <v>28</v>
      </c>
    </row>
    <row r="47" spans="1:3">
      <c r="A47" s="216" t="s">
        <v>2090</v>
      </c>
      <c r="B47" s="216" t="s">
        <v>2087</v>
      </c>
      <c r="C47" s="210" t="s">
        <v>28</v>
      </c>
    </row>
    <row r="48" spans="1:3" ht="18">
      <c r="A48" s="154" t="s">
        <v>100</v>
      </c>
      <c r="B48" s="154" t="s">
        <v>2235</v>
      </c>
      <c r="C48" s="157" t="s">
        <v>28</v>
      </c>
    </row>
    <row r="49" spans="1:3" ht="18">
      <c r="A49" s="154" t="s">
        <v>76</v>
      </c>
      <c r="B49" s="154" t="s">
        <v>2236</v>
      </c>
      <c r="C49" s="157" t="s">
        <v>28</v>
      </c>
    </row>
    <row r="50" spans="1:3" ht="18">
      <c r="A50" s="154" t="s">
        <v>1044</v>
      </c>
      <c r="B50" s="154" t="s">
        <v>2237</v>
      </c>
      <c r="C50" s="157" t="s">
        <v>28</v>
      </c>
    </row>
    <row r="51" spans="1:3">
      <c r="A51" s="32" t="s">
        <v>928</v>
      </c>
      <c r="B51" s="172" t="s">
        <v>2268</v>
      </c>
      <c r="C51" s="172" t="s">
        <v>28</v>
      </c>
    </row>
    <row r="52" spans="1:3">
      <c r="A52" s="32" t="s">
        <v>2269</v>
      </c>
      <c r="B52" s="172" t="s">
        <v>2270</v>
      </c>
      <c r="C52" s="172" t="s">
        <v>28</v>
      </c>
    </row>
    <row r="53" spans="1:3">
      <c r="A53" s="32" t="s">
        <v>2271</v>
      </c>
      <c r="B53" s="172" t="s">
        <v>2272</v>
      </c>
      <c r="C53" s="172" t="s">
        <v>28</v>
      </c>
    </row>
    <row r="54" spans="1:3">
      <c r="A54" s="32" t="s">
        <v>2273</v>
      </c>
      <c r="B54" s="172" t="s">
        <v>2274</v>
      </c>
      <c r="C54" s="172" t="s">
        <v>28</v>
      </c>
    </row>
    <row r="55" spans="1:3">
      <c r="A55" s="32" t="s">
        <v>2275</v>
      </c>
      <c r="B55" s="172" t="s">
        <v>2276</v>
      </c>
      <c r="C55" s="172" t="s">
        <v>28</v>
      </c>
    </row>
    <row r="56" spans="1:3">
      <c r="A56" s="32" t="s">
        <v>2277</v>
      </c>
      <c r="B56" s="172" t="s">
        <v>2278</v>
      </c>
      <c r="C56" s="172" t="s">
        <v>28</v>
      </c>
    </row>
    <row r="57" spans="1:3">
      <c r="A57" s="32" t="s">
        <v>2279</v>
      </c>
      <c r="B57" s="172" t="s">
        <v>2280</v>
      </c>
      <c r="C57" s="172" t="s">
        <v>28</v>
      </c>
    </row>
    <row r="58" spans="1:3">
      <c r="A58" s="32" t="s">
        <v>2281</v>
      </c>
      <c r="B58" s="172" t="s">
        <v>2282</v>
      </c>
      <c r="C58" s="172" t="s">
        <v>28</v>
      </c>
    </row>
    <row r="59" spans="1:3">
      <c r="A59" s="32" t="s">
        <v>2283</v>
      </c>
      <c r="B59" s="172" t="s">
        <v>2284</v>
      </c>
      <c r="C59" s="172" t="s">
        <v>28</v>
      </c>
    </row>
    <row r="60" spans="1:3">
      <c r="A60" s="32" t="s">
        <v>2285</v>
      </c>
      <c r="B60" s="172" t="s">
        <v>2286</v>
      </c>
      <c r="C60" s="172" t="s">
        <v>28</v>
      </c>
    </row>
    <row r="61" spans="1:3">
      <c r="A61" s="32" t="s">
        <v>2287</v>
      </c>
      <c r="B61" s="172" t="s">
        <v>2288</v>
      </c>
      <c r="C61" s="172" t="s">
        <v>28</v>
      </c>
    </row>
    <row r="62" spans="1:3">
      <c r="A62" s="32" t="s">
        <v>2289</v>
      </c>
      <c r="B62" s="172" t="s">
        <v>2290</v>
      </c>
      <c r="C62" s="172" t="s">
        <v>28</v>
      </c>
    </row>
    <row r="63" spans="1:3">
      <c r="A63" s="32" t="s">
        <v>2291</v>
      </c>
      <c r="B63" s="172" t="s">
        <v>2292</v>
      </c>
      <c r="C63" s="172" t="s">
        <v>28</v>
      </c>
    </row>
    <row r="64" spans="1:3">
      <c r="A64" s="32" t="s">
        <v>918</v>
      </c>
      <c r="B64" s="172" t="s">
        <v>2293</v>
      </c>
      <c r="C64" s="172" t="s">
        <v>28</v>
      </c>
    </row>
    <row r="65" spans="1:3">
      <c r="A65" s="32" t="s">
        <v>2294</v>
      </c>
      <c r="B65" s="172" t="s">
        <v>2295</v>
      </c>
      <c r="C65" s="172" t="s">
        <v>28</v>
      </c>
    </row>
    <row r="66" spans="1:3">
      <c r="A66" s="32" t="s">
        <v>2296</v>
      </c>
      <c r="B66" s="172" t="s">
        <v>2297</v>
      </c>
      <c r="C66" s="172" t="s">
        <v>28</v>
      </c>
    </row>
    <row r="67" spans="1:3">
      <c r="A67" s="32" t="s">
        <v>2298</v>
      </c>
      <c r="B67" s="172" t="s">
        <v>2299</v>
      </c>
      <c r="C67" s="172" t="s">
        <v>28</v>
      </c>
    </row>
    <row r="68" spans="1:3">
      <c r="A68" s="32" t="s">
        <v>2300</v>
      </c>
      <c r="B68" s="172" t="s">
        <v>2301</v>
      </c>
      <c r="C68" s="172" t="s">
        <v>28</v>
      </c>
    </row>
    <row r="69" spans="1:3">
      <c r="A69" s="32" t="s">
        <v>2302</v>
      </c>
      <c r="B69" s="172" t="s">
        <v>2303</v>
      </c>
      <c r="C69" s="172" t="s">
        <v>28</v>
      </c>
    </row>
    <row r="70" spans="1:3">
      <c r="A70" s="32" t="s">
        <v>930</v>
      </c>
      <c r="B70" s="172" t="s">
        <v>2304</v>
      </c>
      <c r="C70" s="172" t="s">
        <v>28</v>
      </c>
    </row>
    <row r="71" spans="1:3">
      <c r="A71" s="32" t="s">
        <v>2305</v>
      </c>
      <c r="B71" s="172" t="s">
        <v>2306</v>
      </c>
      <c r="C71" s="172" t="s">
        <v>28</v>
      </c>
    </row>
    <row r="72" spans="1:3">
      <c r="A72" s="32" t="s">
        <v>2307</v>
      </c>
      <c r="B72" s="172" t="s">
        <v>2308</v>
      </c>
      <c r="C72" s="172" t="s">
        <v>28</v>
      </c>
    </row>
    <row r="73" spans="1:3">
      <c r="A73" s="32" t="s">
        <v>920</v>
      </c>
      <c r="B73" s="172" t="s">
        <v>2309</v>
      </c>
      <c r="C73" s="172" t="s">
        <v>28</v>
      </c>
    </row>
    <row r="74" spans="1:3">
      <c r="A74" s="32" t="s">
        <v>2310</v>
      </c>
      <c r="B74" s="172" t="s">
        <v>2311</v>
      </c>
      <c r="C74" s="172" t="s">
        <v>28</v>
      </c>
    </row>
    <row r="75" spans="1:3">
      <c r="A75" s="32" t="s">
        <v>2312</v>
      </c>
      <c r="B75" s="172" t="s">
        <v>2313</v>
      </c>
      <c r="C75" s="172" t="s">
        <v>28</v>
      </c>
    </row>
    <row r="76" spans="1:3">
      <c r="A76" s="32" t="s">
        <v>922</v>
      </c>
      <c r="B76" s="172" t="s">
        <v>2314</v>
      </c>
      <c r="C76" s="172" t="s">
        <v>28</v>
      </c>
    </row>
    <row r="77" spans="1:3">
      <c r="A77" s="32" t="s">
        <v>815</v>
      </c>
      <c r="B77" s="172" t="s">
        <v>2315</v>
      </c>
      <c r="C77" s="172" t="s">
        <v>28</v>
      </c>
    </row>
    <row r="78" spans="1:3">
      <c r="A78" s="32" t="s">
        <v>2316</v>
      </c>
      <c r="B78" s="172" t="s">
        <v>2317</v>
      </c>
      <c r="C78" s="172" t="s">
        <v>28</v>
      </c>
    </row>
    <row r="79" spans="1:3">
      <c r="A79" s="32" t="s">
        <v>2318</v>
      </c>
      <c r="B79" s="172" t="s">
        <v>2319</v>
      </c>
      <c r="C79" s="172" t="s">
        <v>28</v>
      </c>
    </row>
    <row r="80" spans="1:3">
      <c r="A80" s="19" t="s">
        <v>2202</v>
      </c>
      <c r="B80" s="172" t="s">
        <v>2575</v>
      </c>
      <c r="C80" s="172" t="s">
        <v>28</v>
      </c>
    </row>
    <row r="81" spans="1:3">
      <c r="A81" s="19" t="s">
        <v>2576</v>
      </c>
      <c r="B81" s="172" t="s">
        <v>2577</v>
      </c>
      <c r="C81" s="172" t="s">
        <v>28</v>
      </c>
    </row>
    <row r="82" spans="1:3">
      <c r="A82" s="19" t="s">
        <v>794</v>
      </c>
      <c r="B82" s="172" t="s">
        <v>2578</v>
      </c>
      <c r="C82" s="172" t="s">
        <v>29</v>
      </c>
    </row>
    <row r="83" spans="1:3">
      <c r="A83" s="19" t="s">
        <v>2580</v>
      </c>
      <c r="B83" s="172" t="s">
        <v>2579</v>
      </c>
      <c r="C83" s="172" t="s">
        <v>29</v>
      </c>
    </row>
    <row r="84" spans="1:3">
      <c r="A84" s="19" t="s">
        <v>2581</v>
      </c>
      <c r="B84" s="172" t="s">
        <v>2582</v>
      </c>
      <c r="C84" s="172" t="s">
        <v>28</v>
      </c>
    </row>
    <row r="85" spans="1:3">
      <c r="A85" s="19" t="s">
        <v>1030</v>
      </c>
      <c r="B85" s="172" t="s">
        <v>2583</v>
      </c>
      <c r="C85" s="172" t="s">
        <v>28</v>
      </c>
    </row>
    <row r="86" spans="1:3" ht="45">
      <c r="A86" t="s">
        <v>2217</v>
      </c>
      <c r="B86" s="180" t="s">
        <v>2584</v>
      </c>
      <c r="C86" s="172" t="s">
        <v>2345</v>
      </c>
    </row>
    <row r="87" spans="1:3" ht="45">
      <c r="A87" t="s">
        <v>2571</v>
      </c>
      <c r="B87" s="180" t="s">
        <v>2585</v>
      </c>
      <c r="C87" s="172" t="s">
        <v>28</v>
      </c>
    </row>
    <row r="88" spans="1:3" ht="45">
      <c r="A88" t="s">
        <v>2586</v>
      </c>
      <c r="B88" s="180" t="s">
        <v>2587</v>
      </c>
      <c r="C88" s="172" t="s">
        <v>29</v>
      </c>
    </row>
    <row r="89" spans="1:3" ht="45">
      <c r="A89" t="s">
        <v>2217</v>
      </c>
      <c r="B89" s="180" t="s">
        <v>2588</v>
      </c>
      <c r="C89" s="172" t="s">
        <v>28</v>
      </c>
    </row>
    <row r="90" spans="1:3" ht="45">
      <c r="A90" t="s">
        <v>2589</v>
      </c>
      <c r="B90" s="180" t="s">
        <v>2590</v>
      </c>
      <c r="C90" s="172" t="s">
        <v>819</v>
      </c>
    </row>
    <row r="91" spans="1:3" ht="45">
      <c r="A91" t="s">
        <v>2591</v>
      </c>
      <c r="B91" s="180" t="s">
        <v>2592</v>
      </c>
      <c r="C91" s="172" t="s">
        <v>28</v>
      </c>
    </row>
    <row r="92" spans="1:3" ht="45">
      <c r="A92" t="s">
        <v>2593</v>
      </c>
      <c r="B92" s="180" t="s">
        <v>2594</v>
      </c>
      <c r="C92" s="172" t="s">
        <v>29</v>
      </c>
    </row>
    <row r="93" spans="1:3" ht="45">
      <c r="A93" t="s">
        <v>2595</v>
      </c>
      <c r="B93" s="180" t="s">
        <v>2596</v>
      </c>
      <c r="C93" s="172" t="s">
        <v>28</v>
      </c>
    </row>
    <row r="94" spans="1:3" ht="45">
      <c r="A94" t="s">
        <v>2597</v>
      </c>
      <c r="B94" s="180" t="s">
        <v>2598</v>
      </c>
      <c r="C94" s="172" t="s">
        <v>29</v>
      </c>
    </row>
  </sheetData>
  <hyperlinks>
    <hyperlink ref="A24" r:id="rId1" display="https://www.lazyportfolioetf.com/etf/spdr-gold-trust-gld/" xr:uid="{0FB5DD21-E449-604E-AC35-89FC60993DF9}"/>
    <hyperlink ref="B24" r:id="rId2" display="https://www.lazyportfolioetf.com/etf/spdr-gold-trust-gld/" xr:uid="{988DEFF6-FC79-0944-B90A-BC10BD583318}"/>
    <hyperlink ref="A25" r:id="rId3" display="https://www.lazyportfolioetf.com/etf/ishares-sp-gsci-commodity-indexed-trust-gsg/" xr:uid="{85F5E57C-71E5-1C41-91E9-07659BB88B02}"/>
    <hyperlink ref="B25" r:id="rId4" display="https://www.lazyportfolioetf.com/etf/ishares-sp-gsci-commodity-indexed-trust-gsg/" xr:uid="{FD1B3359-964C-F84D-B59B-47733C47E50A}"/>
    <hyperlink ref="A29" r:id="rId5" display="https://www.lazyportfolioetf.com/etf/vanguard-total-stock-market-vti/" xr:uid="{9B152A0E-36B3-524D-A0CB-521FF54B1E26}"/>
    <hyperlink ref="B29" r:id="rId6" display="https://www.lazyportfolioetf.com/etf/vanguard-total-stock-market-vti/" xr:uid="{ED1D0DEF-DD7C-6D4E-B4C3-1F2FD4961DDD}"/>
    <hyperlink ref="A51" r:id="rId7" tooltip="PST.MI" display="https://it.finance.yahoo.com/quote/PST.MI/" xr:uid="{872895BC-2D2C-3545-976D-FE8B0E3A0945}"/>
    <hyperlink ref="A52" r:id="rId8" tooltip="PRY.MI" display="https://it.finance.yahoo.com/quote/PRY.MI/" xr:uid="{0319473F-CB52-E64C-BF8C-D60BD90BD40C}"/>
    <hyperlink ref="A53" r:id="rId9" tooltip="BPE.MI" display="https://it.finance.yahoo.com/quote/BPE.MI/" xr:uid="{530E6270-A443-BA4B-A054-D7C6EBDF1759}"/>
    <hyperlink ref="A54" r:id="rId10" tooltip="SPM.MI" display="https://it.finance.yahoo.com/quote/SPM.MI/" xr:uid="{26D3B7EB-F0B6-FA47-9C3E-CE88E5C1E5B3}"/>
    <hyperlink ref="A55" r:id="rId11" tooltip="SRG.MI" display="https://it.finance.yahoo.com/quote/SRG.MI/" xr:uid="{35368A04-AD2D-A74F-9BD5-2147018C004C}"/>
    <hyperlink ref="A56" r:id="rId12" tooltip="TRN.MI" display="https://it.finance.yahoo.com/quote/TRN.MI/" xr:uid="{AF91B705-9385-3541-BB0D-EBE2BBCCFAB6}"/>
    <hyperlink ref="A57" r:id="rId13" tooltip="BAMI.MI" display="https://it.finance.yahoo.com/quote/BAMI.MI/" xr:uid="{617F35CA-33B4-C446-9367-9FF0AA79D83A}"/>
    <hyperlink ref="A58" r:id="rId14" tooltip="MONC.MI" display="https://it.finance.yahoo.com/quote/MONC.MI/" xr:uid="{13377055-8F2F-EB42-946D-82CE65C07EF3}"/>
    <hyperlink ref="A59" r:id="rId15" tooltip="UNI.MI" display="https://it.finance.yahoo.com/quote/UNI.MI/" xr:uid="{9AD035A6-4727-2B43-96DE-DC8CCA9BE950}"/>
    <hyperlink ref="A60" r:id="rId16" tooltip="STLAM.MI" display="https://it.finance.yahoo.com/quote/STLAM.MI/" xr:uid="{24CFE2E2-961F-5140-A88B-E698B3B4F241}"/>
    <hyperlink ref="A61" r:id="rId17" tooltip="BC.MI" display="https://it.finance.yahoo.com/quote/BC.MI/" xr:uid="{522320FC-5F4B-984F-B6CD-49AFD888DB50}"/>
    <hyperlink ref="A62" r:id="rId18" tooltip="AMP.MI" display="https://it.finance.yahoo.com/quote/AMP.MI/" xr:uid="{D2091BEF-E584-8446-9D9F-9F778AF966D2}"/>
    <hyperlink ref="A63" r:id="rId19" tooltip="RACE.MI" display="https://it.finance.yahoo.com/quote/RACE.MI/" xr:uid="{121084CE-DA21-924E-883D-4E571CD4B09C}"/>
    <hyperlink ref="A64" r:id="rId20" tooltip="ENI.MI" display="https://it.finance.yahoo.com/quote/ENI.MI/" xr:uid="{CA022F7F-926C-DF4B-915B-102DE1229754}"/>
    <hyperlink ref="A65" r:id="rId21" tooltip="DIA.MI" display="https://it.finance.yahoo.com/quote/DIA.MI/" xr:uid="{3402C944-0E0A-7647-B351-7CA13EAC9FD7}"/>
    <hyperlink ref="A66" r:id="rId22" tooltip="REC.MI" display="https://it.finance.yahoo.com/quote/REC.MI/" xr:uid="{FAA944A7-8B5D-7840-8C41-35A291C4E1C1}"/>
    <hyperlink ref="A67" r:id="rId23" tooltip="BZU.MI" display="https://it.finance.yahoo.com/quote/BZU.MI/" xr:uid="{BBD5E567-0F0D-064A-9BFC-52428EB065D5}"/>
    <hyperlink ref="A68" r:id="rId24" tooltip="G.MI" display="https://it.finance.yahoo.com/quote/G.MI/" xr:uid="{EFDD2C7F-666C-0A4B-8769-3195D24C84E9}"/>
    <hyperlink ref="A69" r:id="rId25" tooltip="TEN.MI" display="https://it.finance.yahoo.com/quote/TEN.MI/" xr:uid="{783D0710-63A7-DB47-BAEF-EE6FB1583B25}"/>
    <hyperlink ref="A70" r:id="rId26" tooltip="CPR.MI" display="https://it.finance.yahoo.com/quote/CPR.MI/" xr:uid="{50D19DB0-26F1-DF4D-83C2-2AE84F0A31C1}"/>
    <hyperlink ref="A71" r:id="rId27" tooltip="MB.MI" display="https://it.finance.yahoo.com/quote/MB.MI/" xr:uid="{C843CC45-D032-1C46-9AC6-A78D5DD7627E}"/>
    <hyperlink ref="A72" r:id="rId28" tooltip="LTMC.MI" display="https://it.finance.yahoo.com/quote/LTMC.MI/" xr:uid="{931874A6-A47F-CB4A-8A3A-58BE0692FD0C}"/>
    <hyperlink ref="A73" r:id="rId29" tooltip="ISP.MI" display="https://it.finance.yahoo.com/quote/ISP.MI/" xr:uid="{562556BB-D132-5547-AD40-041E5ADC4CDA}"/>
    <hyperlink ref="A74" r:id="rId30" tooltip="IG.MI" display="https://it.finance.yahoo.com/quote/IG.MI/" xr:uid="{8AEECF19-7651-AB45-98BD-81E0D543922C}"/>
    <hyperlink ref="A75" r:id="rId31" tooltip="BMED.MI" display="https://it.finance.yahoo.com/quote/BMED.MI/" xr:uid="{E22A8A60-8124-5748-91C2-269BD5639CB7}"/>
    <hyperlink ref="A76" r:id="rId32" tooltip="LDO.MI" display="https://it.finance.yahoo.com/quote/LDO.MI/" xr:uid="{700605FF-CC28-7246-9A6B-4BADDEBFF856}"/>
    <hyperlink ref="A77" r:id="rId33" tooltip="TIT.MI" display="https://it.finance.yahoo.com/quote/TIT.MI/" xr:uid="{5B08644F-303B-B543-9BE7-F6F4F36399F5}"/>
    <hyperlink ref="A78" r:id="rId34" tooltip="AZM.MI" display="https://it.finance.yahoo.com/quote/AZM.MI/" xr:uid="{EE35A024-0748-084E-BCEA-27C366A20AD3}"/>
    <hyperlink ref="A79" r:id="rId35" tooltip="FBK.MI" display="https://it.finance.yahoo.com/quote/FBK.MI/" xr:uid="{F217A302-8CB2-EF4F-9942-4FE6039A937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F3DF-351E-ED40-8EDB-C2FADE6EEE06}">
  <dimension ref="A1:D32"/>
  <sheetViews>
    <sheetView zoomScale="168" workbookViewId="0">
      <selection sqref="A1:C1"/>
    </sheetView>
  </sheetViews>
  <sheetFormatPr baseColWidth="10" defaultRowHeight="15"/>
  <cols>
    <col min="1" max="1" width="29" customWidth="1"/>
    <col min="2" max="2" width="41.83203125" bestFit="1" customWidth="1"/>
  </cols>
  <sheetData>
    <row r="1" spans="1:4" ht="18">
      <c r="A1" s="158" t="s">
        <v>2120</v>
      </c>
      <c r="B1" s="159" t="s">
        <v>2121</v>
      </c>
      <c r="C1" s="154" t="s">
        <v>2122</v>
      </c>
    </row>
    <row r="2" spans="1:4">
      <c r="A2" s="182" t="s">
        <v>60</v>
      </c>
      <c r="B2" s="185" t="s">
        <v>2351</v>
      </c>
      <c r="C2" s="184" t="s">
        <v>28</v>
      </c>
    </row>
    <row r="3" spans="1:4">
      <c r="A3" s="182" t="s">
        <v>2</v>
      </c>
      <c r="B3" s="185" t="s">
        <v>2353</v>
      </c>
      <c r="C3" s="184" t="s">
        <v>28</v>
      </c>
    </row>
    <row r="4" spans="1:4">
      <c r="A4" s="182" t="s">
        <v>1146</v>
      </c>
      <c r="B4" s="185" t="s">
        <v>2480</v>
      </c>
      <c r="C4" s="184" t="s">
        <v>28</v>
      </c>
    </row>
    <row r="5" spans="1:4">
      <c r="A5" s="182" t="s">
        <v>1855</v>
      </c>
      <c r="B5" s="185" t="s">
        <v>2481</v>
      </c>
      <c r="C5" s="184" t="s">
        <v>28</v>
      </c>
    </row>
    <row r="6" spans="1:4">
      <c r="A6" s="182" t="s">
        <v>20</v>
      </c>
      <c r="B6" s="185" t="s">
        <v>2357</v>
      </c>
      <c r="C6" s="184" t="s">
        <v>28</v>
      </c>
    </row>
    <row r="7" spans="1:4">
      <c r="A7" s="182" t="s">
        <v>19</v>
      </c>
      <c r="B7" s="185" t="s">
        <v>2358</v>
      </c>
      <c r="C7" s="184" t="s">
        <v>28</v>
      </c>
    </row>
    <row r="8" spans="1:4">
      <c r="A8" s="182" t="s">
        <v>1102</v>
      </c>
      <c r="B8" s="185" t="s">
        <v>2360</v>
      </c>
      <c r="C8" s="184" t="s">
        <v>28</v>
      </c>
    </row>
    <row r="9" spans="1:4">
      <c r="A9" s="182" t="s">
        <v>2255</v>
      </c>
      <c r="B9" s="185" t="s">
        <v>2362</v>
      </c>
      <c r="C9" s="184" t="s">
        <v>28</v>
      </c>
      <c r="D9" s="171"/>
    </row>
    <row r="10" spans="1:4">
      <c r="A10" s="182" t="s">
        <v>1757</v>
      </c>
      <c r="B10" s="185" t="s">
        <v>2364</v>
      </c>
      <c r="C10" s="184" t="s">
        <v>28</v>
      </c>
    </row>
    <row r="11" spans="1:4">
      <c r="A11" s="182" t="s">
        <v>2259</v>
      </c>
      <c r="B11" s="185" t="s">
        <v>2366</v>
      </c>
      <c r="C11" s="184" t="s">
        <v>28</v>
      </c>
    </row>
    <row r="12" spans="1:4">
      <c r="A12" s="182" t="s">
        <v>2196</v>
      </c>
      <c r="B12" s="185" t="s">
        <v>2368</v>
      </c>
      <c r="C12" s="184" t="s">
        <v>29</v>
      </c>
    </row>
    <row r="13" spans="1:4">
      <c r="A13" s="182" t="s">
        <v>2188</v>
      </c>
      <c r="B13" s="185" t="s">
        <v>2370</v>
      </c>
      <c r="C13" s="184" t="s">
        <v>28</v>
      </c>
    </row>
    <row r="14" spans="1:4">
      <c r="A14" s="182" t="s">
        <v>2231</v>
      </c>
      <c r="B14" s="185" t="s">
        <v>2372</v>
      </c>
      <c r="C14" s="184" t="s">
        <v>28</v>
      </c>
    </row>
    <row r="15" spans="1:4">
      <c r="A15" s="182" t="s">
        <v>2242</v>
      </c>
      <c r="B15" s="185" t="s">
        <v>2531</v>
      </c>
      <c r="C15" s="184" t="s">
        <v>28</v>
      </c>
    </row>
    <row r="16" spans="1:4">
      <c r="A16" s="182" t="s">
        <v>2244</v>
      </c>
      <c r="B16" s="185" t="s">
        <v>2569</v>
      </c>
      <c r="C16" s="184" t="s">
        <v>28</v>
      </c>
    </row>
    <row r="17" spans="1:3">
      <c r="A17" s="182" t="s">
        <v>2240</v>
      </c>
      <c r="B17" s="185" t="s">
        <v>2376</v>
      </c>
      <c r="C17" s="184" t="s">
        <v>29</v>
      </c>
    </row>
    <row r="18" spans="1:3">
      <c r="A18" s="190" t="s">
        <v>2380</v>
      </c>
      <c r="B18" s="193" t="s">
        <v>2485</v>
      </c>
      <c r="C18" s="192" t="s">
        <v>28</v>
      </c>
    </row>
    <row r="19" spans="1:3">
      <c r="A19" s="186" t="s">
        <v>2385</v>
      </c>
      <c r="B19" s="189" t="s">
        <v>2487</v>
      </c>
      <c r="C19" s="188" t="s">
        <v>29</v>
      </c>
    </row>
    <row r="20" spans="1:3">
      <c r="A20" s="186" t="s">
        <v>1090</v>
      </c>
      <c r="B20" s="189" t="s">
        <v>2490</v>
      </c>
      <c r="C20" s="188" t="s">
        <v>29</v>
      </c>
    </row>
    <row r="21" spans="1:3">
      <c r="A21" s="186" t="s">
        <v>2406</v>
      </c>
      <c r="B21" s="189" t="s">
        <v>2570</v>
      </c>
      <c r="C21" s="188" t="s">
        <v>28</v>
      </c>
    </row>
    <row r="22" spans="1:3">
      <c r="A22" s="190" t="s">
        <v>2411</v>
      </c>
      <c r="B22" s="193" t="s">
        <v>2563</v>
      </c>
      <c r="C22" s="192" t="s">
        <v>28</v>
      </c>
    </row>
    <row r="23" spans="1:3">
      <c r="A23" s="190" t="s">
        <v>2422</v>
      </c>
      <c r="B23" s="193" t="s">
        <v>2564</v>
      </c>
      <c r="C23" s="192" t="s">
        <v>28</v>
      </c>
    </row>
    <row r="24" spans="1:3">
      <c r="A24" s="190" t="s">
        <v>2425</v>
      </c>
      <c r="B24" s="193" t="s">
        <v>2565</v>
      </c>
      <c r="C24" s="192" t="s">
        <v>28</v>
      </c>
    </row>
    <row r="25" spans="1:3">
      <c r="A25" s="190" t="s">
        <v>1735</v>
      </c>
      <c r="B25" s="193" t="s">
        <v>2566</v>
      </c>
      <c r="C25" s="192" t="s">
        <v>28</v>
      </c>
    </row>
    <row r="26" spans="1:3">
      <c r="A26" s="190" t="s">
        <v>2442</v>
      </c>
      <c r="B26" s="193" t="s">
        <v>2567</v>
      </c>
      <c r="C26" s="192" t="s">
        <v>29</v>
      </c>
    </row>
    <row r="27" spans="1:3">
      <c r="A27" s="186" t="s">
        <v>2134</v>
      </c>
      <c r="B27" s="189" t="s">
        <v>2568</v>
      </c>
      <c r="C27" s="188" t="s">
        <v>28</v>
      </c>
    </row>
    <row r="28" spans="1:3">
      <c r="A28" s="186" t="s">
        <v>2470</v>
      </c>
      <c r="B28" s="189" t="s">
        <v>2524</v>
      </c>
      <c r="C28" s="188" t="s">
        <v>28</v>
      </c>
    </row>
    <row r="29" spans="1:3">
      <c r="A29" s="190" t="s">
        <v>2231</v>
      </c>
      <c r="B29" s="193" t="s">
        <v>2526</v>
      </c>
      <c r="C29" s="192" t="s">
        <v>28</v>
      </c>
    </row>
    <row r="30" spans="1:3">
      <c r="A30" s="186" t="s">
        <v>2240</v>
      </c>
      <c r="B30" s="187" t="s">
        <v>2396</v>
      </c>
      <c r="C30" s="188" t="s">
        <v>29</v>
      </c>
    </row>
    <row r="31" spans="1:3">
      <c r="A31" s="197" t="s">
        <v>2343</v>
      </c>
      <c r="B31" s="198" t="s">
        <v>2532</v>
      </c>
      <c r="C31" s="199" t="s">
        <v>29</v>
      </c>
    </row>
    <row r="32" spans="1:3" ht="45">
      <c r="A32" s="180" t="s">
        <v>2571</v>
      </c>
      <c r="B32" s="180" t="s">
        <v>2572</v>
      </c>
      <c r="C32" s="219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786B-AB34-8343-B38F-36D12BAD7BA2}">
  <dimension ref="A1:C97"/>
  <sheetViews>
    <sheetView topLeftCell="A72" zoomScale="261" zoomScaleNormal="261" workbookViewId="0">
      <selection activeCell="A82" sqref="A82:C82"/>
    </sheetView>
  </sheetViews>
  <sheetFormatPr baseColWidth="10" defaultRowHeight="12"/>
  <cols>
    <col min="1" max="1" width="16.83203125" style="196" customWidth="1"/>
    <col min="2" max="2" width="34.1640625" style="196" customWidth="1"/>
    <col min="3" max="16384" width="10.83203125" style="196"/>
  </cols>
  <sheetData>
    <row r="1" spans="1:3">
      <c r="A1" s="194" t="s">
        <v>2120</v>
      </c>
      <c r="B1" s="195" t="s">
        <v>2121</v>
      </c>
      <c r="C1" s="196" t="s">
        <v>2122</v>
      </c>
    </row>
    <row r="2" spans="1:3">
      <c r="A2" s="197" t="s">
        <v>60</v>
      </c>
      <c r="B2" s="198" t="s">
        <v>2548</v>
      </c>
      <c r="C2" s="199" t="s">
        <v>28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1146</v>
      </c>
      <c r="B4" s="198" t="s">
        <v>2550</v>
      </c>
      <c r="C4" s="199" t="s">
        <v>28</v>
      </c>
    </row>
    <row r="5" spans="1:3">
      <c r="A5" s="197" t="s">
        <v>1855</v>
      </c>
      <c r="B5" s="198" t="s">
        <v>2551</v>
      </c>
      <c r="C5" s="199" t="s">
        <v>28</v>
      </c>
    </row>
    <row r="6" spans="1:3">
      <c r="A6" s="197" t="s">
        <v>20</v>
      </c>
      <c r="B6" s="198" t="s">
        <v>2552</v>
      </c>
      <c r="C6" s="199" t="s">
        <v>28</v>
      </c>
    </row>
    <row r="7" spans="1:3">
      <c r="A7" s="197" t="s">
        <v>19</v>
      </c>
      <c r="B7" s="198" t="s">
        <v>2553</v>
      </c>
      <c r="C7" s="199" t="s">
        <v>28</v>
      </c>
    </row>
    <row r="8" spans="1:3">
      <c r="A8" s="197" t="s">
        <v>1102</v>
      </c>
      <c r="B8" s="198" t="s">
        <v>2554</v>
      </c>
      <c r="C8" s="199" t="s">
        <v>28</v>
      </c>
    </row>
    <row r="9" spans="1:3">
      <c r="A9" s="197" t="s">
        <v>2255</v>
      </c>
      <c r="B9" s="198" t="s">
        <v>2555</v>
      </c>
      <c r="C9" s="199" t="s">
        <v>28</v>
      </c>
    </row>
    <row r="10" spans="1:3">
      <c r="A10" s="197" t="s">
        <v>1757</v>
      </c>
      <c r="B10" s="198" t="s">
        <v>2556</v>
      </c>
      <c r="C10" s="199" t="s">
        <v>28</v>
      </c>
    </row>
    <row r="11" spans="1:3">
      <c r="A11" s="197" t="s">
        <v>2259</v>
      </c>
      <c r="B11" s="198" t="s">
        <v>2557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2188</v>
      </c>
      <c r="B13" s="198" t="s">
        <v>2559</v>
      </c>
      <c r="C13" s="199" t="s">
        <v>28</v>
      </c>
    </row>
    <row r="14" spans="1:3">
      <c r="A14" s="197" t="s">
        <v>2231</v>
      </c>
      <c r="B14" s="198" t="s">
        <v>2560</v>
      </c>
      <c r="C14" s="199" t="s">
        <v>28</v>
      </c>
    </row>
    <row r="15" spans="1:3">
      <c r="A15" s="197" t="s">
        <v>2242</v>
      </c>
      <c r="B15" s="198" t="s">
        <v>2561</v>
      </c>
      <c r="C15" s="199" t="s">
        <v>28</v>
      </c>
    </row>
    <row r="16" spans="1:3">
      <c r="A16" s="197" t="s">
        <v>2244</v>
      </c>
      <c r="B16" s="198" t="s">
        <v>2562</v>
      </c>
      <c r="C16" s="199" t="s">
        <v>28</v>
      </c>
    </row>
    <row r="17" spans="1:3">
      <c r="A17" s="197" t="s">
        <v>2240</v>
      </c>
      <c r="B17" s="198" t="s">
        <v>2375</v>
      </c>
      <c r="C17" s="199" t="s">
        <v>29</v>
      </c>
    </row>
    <row r="18" spans="1:3">
      <c r="A18" s="197" t="s">
        <v>2320</v>
      </c>
      <c r="B18" s="198" t="s">
        <v>2321</v>
      </c>
      <c r="C18" s="199" t="s">
        <v>29</v>
      </c>
    </row>
    <row r="19" spans="1:3">
      <c r="A19" s="197" t="s">
        <v>2343</v>
      </c>
      <c r="B19" s="198" t="s">
        <v>2532</v>
      </c>
      <c r="C19" s="199" t="s">
        <v>2345</v>
      </c>
    </row>
    <row r="20" spans="1:3">
      <c r="A20" s="200" t="s">
        <v>756</v>
      </c>
      <c r="B20" s="201" t="s">
        <v>757</v>
      </c>
      <c r="C20" s="200" t="s">
        <v>29</v>
      </c>
    </row>
    <row r="21" spans="1:3">
      <c r="A21" s="202" t="s">
        <v>758</v>
      </c>
      <c r="B21" s="203" t="s">
        <v>759</v>
      </c>
      <c r="C21" s="202" t="s">
        <v>29</v>
      </c>
    </row>
    <row r="22" spans="1:3">
      <c r="A22" s="200" t="s">
        <v>760</v>
      </c>
      <c r="B22" s="200" t="s">
        <v>761</v>
      </c>
      <c r="C22" s="200" t="s">
        <v>29</v>
      </c>
    </row>
    <row r="23" spans="1:3">
      <c r="A23" s="200" t="s">
        <v>762</v>
      </c>
      <c r="B23" s="201" t="s">
        <v>763</v>
      </c>
      <c r="C23" s="200" t="s">
        <v>29</v>
      </c>
    </row>
    <row r="24" spans="1:3">
      <c r="A24" s="200" t="s">
        <v>764</v>
      </c>
      <c r="B24" s="200" t="s">
        <v>765</v>
      </c>
      <c r="C24" s="200" t="s">
        <v>29</v>
      </c>
    </row>
    <row r="25" spans="1:3">
      <c r="A25" s="200" t="s">
        <v>766</v>
      </c>
      <c r="B25" s="200" t="s">
        <v>767</v>
      </c>
      <c r="C25" s="200" t="s">
        <v>29</v>
      </c>
    </row>
    <row r="26" spans="1:3">
      <c r="A26" s="200" t="s">
        <v>768</v>
      </c>
      <c r="B26" s="200" t="s">
        <v>769</v>
      </c>
      <c r="C26" s="200" t="s">
        <v>29</v>
      </c>
    </row>
    <row r="27" spans="1:3">
      <c r="A27" s="200" t="s">
        <v>770</v>
      </c>
      <c r="B27" s="200" t="s">
        <v>771</v>
      </c>
      <c r="C27" s="200" t="s">
        <v>29</v>
      </c>
    </row>
    <row r="28" spans="1:3">
      <c r="A28" s="200" t="s">
        <v>772</v>
      </c>
      <c r="B28" s="200" t="s">
        <v>773</v>
      </c>
      <c r="C28" s="200" t="s">
        <v>29</v>
      </c>
    </row>
    <row r="29" spans="1:3">
      <c r="A29" s="202" t="s">
        <v>774</v>
      </c>
      <c r="B29" s="203" t="s">
        <v>775</v>
      </c>
      <c r="C29" s="202" t="s">
        <v>29</v>
      </c>
    </row>
    <row r="30" spans="1:3">
      <c r="A30" s="202" t="s">
        <v>776</v>
      </c>
      <c r="B30" s="203" t="s">
        <v>777</v>
      </c>
      <c r="C30" s="202" t="s">
        <v>29</v>
      </c>
    </row>
    <row r="31" spans="1:3">
      <c r="A31" s="200" t="s">
        <v>778</v>
      </c>
      <c r="B31" s="201" t="s">
        <v>779</v>
      </c>
      <c r="C31" s="200" t="s">
        <v>29</v>
      </c>
    </row>
    <row r="32" spans="1:3">
      <c r="A32" s="201" t="s">
        <v>780</v>
      </c>
      <c r="B32" s="201" t="s">
        <v>781</v>
      </c>
      <c r="C32" s="200" t="s">
        <v>29</v>
      </c>
    </row>
    <row r="33" spans="1:3">
      <c r="A33" s="201" t="s">
        <v>1101</v>
      </c>
      <c r="B33" s="201" t="s">
        <v>782</v>
      </c>
      <c r="C33" s="200" t="s">
        <v>28</v>
      </c>
    </row>
    <row r="34" spans="1:3">
      <c r="A34" s="204" t="s">
        <v>5</v>
      </c>
      <c r="B34" s="204" t="s">
        <v>36</v>
      </c>
      <c r="C34" s="205" t="s">
        <v>28</v>
      </c>
    </row>
    <row r="35" spans="1:3">
      <c r="A35" s="206" t="s">
        <v>6</v>
      </c>
      <c r="B35" s="206" t="s">
        <v>37</v>
      </c>
      <c r="C35" s="207" t="s">
        <v>28</v>
      </c>
    </row>
    <row r="36" spans="1:3">
      <c r="A36" s="206" t="s">
        <v>7</v>
      </c>
      <c r="B36" s="206" t="s">
        <v>38</v>
      </c>
      <c r="C36" s="207" t="s">
        <v>28</v>
      </c>
    </row>
    <row r="37" spans="1:3">
      <c r="A37" s="206" t="s">
        <v>8</v>
      </c>
      <c r="B37" s="206" t="s">
        <v>39</v>
      </c>
      <c r="C37" s="207" t="s">
        <v>28</v>
      </c>
    </row>
    <row r="38" spans="1:3">
      <c r="A38" s="206" t="s">
        <v>9</v>
      </c>
      <c r="B38" s="206" t="s">
        <v>40</v>
      </c>
      <c r="C38" s="207" t="s">
        <v>28</v>
      </c>
    </row>
    <row r="39" spans="1:3">
      <c r="A39" s="206" t="s">
        <v>10</v>
      </c>
      <c r="B39" s="206" t="s">
        <v>41</v>
      </c>
      <c r="C39" s="207" t="s">
        <v>28</v>
      </c>
    </row>
    <row r="40" spans="1:3">
      <c r="A40" s="206" t="s">
        <v>11</v>
      </c>
      <c r="B40" s="206" t="s">
        <v>42</v>
      </c>
      <c r="C40" s="207" t="s">
        <v>28</v>
      </c>
    </row>
    <row r="41" spans="1:3">
      <c r="A41" s="206" t="s">
        <v>12</v>
      </c>
      <c r="B41" s="206" t="s">
        <v>43</v>
      </c>
      <c r="C41" s="207" t="s">
        <v>28</v>
      </c>
    </row>
    <row r="42" spans="1:3">
      <c r="A42" s="206" t="s">
        <v>13</v>
      </c>
      <c r="B42" s="206" t="s">
        <v>44</v>
      </c>
      <c r="C42" s="207" t="s">
        <v>28</v>
      </c>
    </row>
    <row r="43" spans="1:3">
      <c r="A43" s="206" t="s">
        <v>14</v>
      </c>
      <c r="B43" s="206" t="s">
        <v>45</v>
      </c>
      <c r="C43" s="207" t="s">
        <v>28</v>
      </c>
    </row>
    <row r="44" spans="1:3">
      <c r="A44" s="208" t="s">
        <v>792</v>
      </c>
      <c r="B44" s="203" t="s">
        <v>793</v>
      </c>
      <c r="C44" s="209" t="s">
        <v>28</v>
      </c>
    </row>
    <row r="45" spans="1:3">
      <c r="A45" s="202" t="s">
        <v>783</v>
      </c>
      <c r="B45" s="203" t="s">
        <v>784</v>
      </c>
      <c r="C45" s="202" t="s">
        <v>29</v>
      </c>
    </row>
    <row r="46" spans="1:3">
      <c r="A46" s="202" t="s">
        <v>785</v>
      </c>
      <c r="B46" s="202" t="s">
        <v>786</v>
      </c>
      <c r="C46" s="202" t="s">
        <v>29</v>
      </c>
    </row>
    <row r="47" spans="1:3">
      <c r="A47" s="202" t="s">
        <v>787</v>
      </c>
      <c r="B47" s="202" t="s">
        <v>788</v>
      </c>
      <c r="C47" s="202" t="s">
        <v>29</v>
      </c>
    </row>
    <row r="48" spans="1:3">
      <c r="A48" s="202" t="s">
        <v>789</v>
      </c>
      <c r="B48" s="201" t="s">
        <v>790</v>
      </c>
      <c r="C48" s="202" t="s">
        <v>29</v>
      </c>
    </row>
    <row r="49" spans="1:3">
      <c r="A49" s="210" t="s">
        <v>1091</v>
      </c>
      <c r="B49" s="210" t="s">
        <v>1147</v>
      </c>
      <c r="C49" s="196" t="s">
        <v>28</v>
      </c>
    </row>
    <row r="50" spans="1:3">
      <c r="A50" s="210" t="s">
        <v>1821</v>
      </c>
      <c r="B50" s="201" t="s">
        <v>1822</v>
      </c>
      <c r="C50" s="196" t="s">
        <v>28</v>
      </c>
    </row>
    <row r="51" spans="1:3">
      <c r="A51" s="196" t="s">
        <v>836</v>
      </c>
      <c r="B51" s="196" t="s">
        <v>931</v>
      </c>
      <c r="C51" s="196" t="s">
        <v>28</v>
      </c>
    </row>
    <row r="52" spans="1:3">
      <c r="A52" s="210" t="s">
        <v>932</v>
      </c>
      <c r="B52" s="210" t="s">
        <v>933</v>
      </c>
      <c r="C52" s="210" t="s">
        <v>29</v>
      </c>
    </row>
    <row r="53" spans="1:3">
      <c r="A53" s="196" t="s">
        <v>934</v>
      </c>
      <c r="B53" s="196" t="s">
        <v>935</v>
      </c>
      <c r="C53" s="196" t="s">
        <v>29</v>
      </c>
    </row>
    <row r="54" spans="1:3">
      <c r="A54" s="210" t="s">
        <v>936</v>
      </c>
      <c r="B54" s="210" t="s">
        <v>937</v>
      </c>
      <c r="C54" s="210" t="s">
        <v>29</v>
      </c>
    </row>
    <row r="55" spans="1:3">
      <c r="A55" s="196" t="s">
        <v>833</v>
      </c>
      <c r="B55" s="196" t="s">
        <v>938</v>
      </c>
      <c r="C55" s="196" t="s">
        <v>29</v>
      </c>
    </row>
    <row r="56" spans="1:3">
      <c r="A56" s="211" t="s">
        <v>712</v>
      </c>
      <c r="B56" s="212" t="s">
        <v>713</v>
      </c>
      <c r="C56" s="196" t="s">
        <v>29</v>
      </c>
    </row>
    <row r="57" spans="1:3">
      <c r="A57" s="213" t="s">
        <v>731</v>
      </c>
      <c r="B57" s="214" t="s">
        <v>732</v>
      </c>
      <c r="C57" s="196" t="s">
        <v>29</v>
      </c>
    </row>
    <row r="58" spans="1:3">
      <c r="A58" s="213" t="s">
        <v>733</v>
      </c>
      <c r="B58" s="203" t="s">
        <v>734</v>
      </c>
      <c r="C58" s="196" t="s">
        <v>29</v>
      </c>
    </row>
    <row r="59" spans="1:3">
      <c r="A59" s="213" t="s">
        <v>735</v>
      </c>
      <c r="B59" s="203" t="s">
        <v>736</v>
      </c>
      <c r="C59" s="196" t="s">
        <v>29</v>
      </c>
    </row>
    <row r="60" spans="1:3">
      <c r="A60" s="213" t="s">
        <v>737</v>
      </c>
      <c r="B60" s="214" t="s">
        <v>738</v>
      </c>
      <c r="C60" s="196" t="s">
        <v>29</v>
      </c>
    </row>
    <row r="61" spans="1:3">
      <c r="A61" s="213" t="s">
        <v>739</v>
      </c>
      <c r="B61" s="214" t="s">
        <v>740</v>
      </c>
      <c r="C61" s="196" t="s">
        <v>29</v>
      </c>
    </row>
    <row r="62" spans="1:3">
      <c r="A62" s="213" t="s">
        <v>741</v>
      </c>
      <c r="B62" s="214" t="s">
        <v>742</v>
      </c>
      <c r="C62" s="196" t="s">
        <v>29</v>
      </c>
    </row>
    <row r="63" spans="1:3">
      <c r="A63" s="201" t="s">
        <v>1813</v>
      </c>
      <c r="B63" s="210" t="s">
        <v>1814</v>
      </c>
      <c r="C63" s="210" t="s">
        <v>28</v>
      </c>
    </row>
    <row r="64" spans="1:3">
      <c r="A64" s="196" t="s">
        <v>1747</v>
      </c>
      <c r="B64" s="203" t="s">
        <v>1823</v>
      </c>
      <c r="C64" s="196" t="s">
        <v>28</v>
      </c>
    </row>
    <row r="65" spans="1:3">
      <c r="A65" s="196" t="s">
        <v>1811</v>
      </c>
      <c r="B65" s="203" t="s">
        <v>1816</v>
      </c>
      <c r="C65" s="196" t="s">
        <v>28</v>
      </c>
    </row>
    <row r="66" spans="1:3">
      <c r="A66" s="196" t="s">
        <v>1817</v>
      </c>
      <c r="B66" s="203" t="s">
        <v>1818</v>
      </c>
      <c r="C66" s="196" t="s">
        <v>28</v>
      </c>
    </row>
    <row r="67" spans="1:3">
      <c r="A67" s="196" t="s">
        <v>895</v>
      </c>
      <c r="B67" s="203" t="s">
        <v>1819</v>
      </c>
      <c r="C67" s="196" t="s">
        <v>29</v>
      </c>
    </row>
    <row r="68" spans="1:3">
      <c r="A68" s="196" t="s">
        <v>887</v>
      </c>
      <c r="B68" s="203" t="s">
        <v>1820</v>
      </c>
      <c r="C68" s="196" t="s">
        <v>28</v>
      </c>
    </row>
    <row r="69" spans="1:3">
      <c r="A69" s="204" t="s">
        <v>5</v>
      </c>
      <c r="B69" s="204" t="s">
        <v>36</v>
      </c>
      <c r="C69" s="205" t="s">
        <v>28</v>
      </c>
    </row>
    <row r="70" spans="1:3">
      <c r="A70" s="210" t="s">
        <v>1110</v>
      </c>
      <c r="B70" s="201" t="s">
        <v>1111</v>
      </c>
      <c r="C70" s="210" t="s">
        <v>29</v>
      </c>
    </row>
    <row r="71" spans="1:3">
      <c r="A71" s="196" t="s">
        <v>1030</v>
      </c>
      <c r="B71" s="203" t="s">
        <v>1029</v>
      </c>
      <c r="C71" s="196" t="s">
        <v>29</v>
      </c>
    </row>
    <row r="72" spans="1:3">
      <c r="A72" s="203" t="s">
        <v>1808</v>
      </c>
      <c r="B72" s="214" t="s">
        <v>1809</v>
      </c>
      <c r="C72" s="196" t="s">
        <v>28</v>
      </c>
    </row>
    <row r="73" spans="1:3">
      <c r="A73" s="212" t="s">
        <v>724</v>
      </c>
      <c r="B73" s="212" t="s">
        <v>2156</v>
      </c>
      <c r="C73" s="210" t="s">
        <v>29</v>
      </c>
    </row>
    <row r="74" spans="1:3">
      <c r="A74" s="212" t="s">
        <v>714</v>
      </c>
      <c r="B74" s="212" t="s">
        <v>715</v>
      </c>
      <c r="C74" s="196" t="s">
        <v>29</v>
      </c>
    </row>
    <row r="75" spans="1:3">
      <c r="A75" s="212" t="s">
        <v>716</v>
      </c>
      <c r="B75" s="212" t="s">
        <v>717</v>
      </c>
      <c r="C75" s="210" t="s">
        <v>29</v>
      </c>
    </row>
    <row r="76" spans="1:3">
      <c r="A76" s="212" t="s">
        <v>722</v>
      </c>
      <c r="B76" s="212" t="s">
        <v>723</v>
      </c>
      <c r="C76" s="196" t="s">
        <v>29</v>
      </c>
    </row>
    <row r="77" spans="1:3">
      <c r="A77" s="211" t="s">
        <v>718</v>
      </c>
      <c r="B77" s="211" t="s">
        <v>719</v>
      </c>
      <c r="C77" s="196" t="s">
        <v>29</v>
      </c>
    </row>
    <row r="78" spans="1:3">
      <c r="A78" s="212" t="s">
        <v>720</v>
      </c>
      <c r="B78" s="212" t="s">
        <v>721</v>
      </c>
      <c r="C78" s="210" t="s">
        <v>29</v>
      </c>
    </row>
    <row r="79" spans="1:3">
      <c r="A79" s="215" t="s">
        <v>1090</v>
      </c>
      <c r="B79" s="215" t="s">
        <v>2085</v>
      </c>
      <c r="C79" s="196" t="s">
        <v>28</v>
      </c>
    </row>
    <row r="80" spans="1:3">
      <c r="A80" s="215" t="s">
        <v>1760</v>
      </c>
      <c r="B80" s="203" t="s">
        <v>2123</v>
      </c>
      <c r="C80" s="196" t="s">
        <v>28</v>
      </c>
    </row>
    <row r="81" spans="1:3">
      <c r="A81" s="216" t="s">
        <v>2097</v>
      </c>
      <c r="B81" s="216" t="s">
        <v>2086</v>
      </c>
      <c r="C81" s="210" t="s">
        <v>28</v>
      </c>
    </row>
    <row r="82" spans="1:3">
      <c r="A82" s="216" t="s">
        <v>2090</v>
      </c>
      <c r="B82" s="216" t="s">
        <v>2087</v>
      </c>
      <c r="C82" s="210" t="s">
        <v>28</v>
      </c>
    </row>
    <row r="83" spans="1:3">
      <c r="A83" s="215" t="s">
        <v>2091</v>
      </c>
      <c r="B83" s="215" t="s">
        <v>2088</v>
      </c>
      <c r="C83" s="196" t="s">
        <v>28</v>
      </c>
    </row>
    <row r="84" spans="1:3">
      <c r="A84" s="217" t="s">
        <v>2130</v>
      </c>
      <c r="B84" s="201" t="s">
        <v>2139</v>
      </c>
      <c r="C84" s="218" t="s">
        <v>28</v>
      </c>
    </row>
    <row r="85" spans="1:3">
      <c r="A85" s="217" t="s">
        <v>2131</v>
      </c>
      <c r="B85" s="201" t="s">
        <v>2140</v>
      </c>
      <c r="C85" s="218" t="s">
        <v>28</v>
      </c>
    </row>
    <row r="86" spans="1:3">
      <c r="A86" s="208" t="s">
        <v>2132</v>
      </c>
      <c r="B86" s="218" t="s">
        <v>1856</v>
      </c>
      <c r="C86" s="218" t="s">
        <v>28</v>
      </c>
    </row>
    <row r="87" spans="1:3">
      <c r="A87" s="208" t="s">
        <v>2133</v>
      </c>
      <c r="B87" s="218" t="s">
        <v>2141</v>
      </c>
      <c r="C87" s="218" t="s">
        <v>28</v>
      </c>
    </row>
    <row r="88" spans="1:3">
      <c r="A88" s="217" t="s">
        <v>2134</v>
      </c>
      <c r="B88" s="218" t="s">
        <v>2142</v>
      </c>
      <c r="C88" s="218" t="s">
        <v>28</v>
      </c>
    </row>
    <row r="89" spans="1:3">
      <c r="A89" s="218" t="s">
        <v>1068</v>
      </c>
      <c r="B89" s="218" t="s">
        <v>1068</v>
      </c>
      <c r="C89" s="218" t="s">
        <v>29</v>
      </c>
    </row>
    <row r="90" spans="1:3">
      <c r="A90" s="208" t="s">
        <v>2135</v>
      </c>
      <c r="B90" s="218" t="s">
        <v>2143</v>
      </c>
      <c r="C90" s="218" t="s">
        <v>28</v>
      </c>
    </row>
    <row r="91" spans="1:3">
      <c r="A91" s="208" t="s">
        <v>2136</v>
      </c>
      <c r="B91" s="218" t="s">
        <v>2098</v>
      </c>
      <c r="C91" s="218" t="s">
        <v>28</v>
      </c>
    </row>
    <row r="92" spans="1:3">
      <c r="A92" s="217" t="s">
        <v>1876</v>
      </c>
      <c r="B92" s="201" t="s">
        <v>2144</v>
      </c>
      <c r="C92" s="218" t="s">
        <v>28</v>
      </c>
    </row>
    <row r="93" spans="1:3">
      <c r="A93" s="208" t="s">
        <v>2137</v>
      </c>
      <c r="B93" s="218" t="s">
        <v>2145</v>
      </c>
      <c r="C93" s="218" t="s">
        <v>28</v>
      </c>
    </row>
    <row r="94" spans="1:3">
      <c r="A94" s="208" t="s">
        <v>2138</v>
      </c>
      <c r="B94" s="218" t="s">
        <v>2146</v>
      </c>
      <c r="C94" s="218" t="s">
        <v>28</v>
      </c>
    </row>
    <row r="95" spans="1:3">
      <c r="A95" s="196" t="s">
        <v>2334</v>
      </c>
      <c r="B95" s="215" t="s">
        <v>2538</v>
      </c>
      <c r="C95" s="218" t="s">
        <v>28</v>
      </c>
    </row>
    <row r="96" spans="1:3">
      <c r="A96" s="196" t="s">
        <v>2335</v>
      </c>
      <c r="B96" s="215" t="s">
        <v>2540</v>
      </c>
      <c r="C96" s="218" t="s">
        <v>28</v>
      </c>
    </row>
    <row r="97" spans="1:3">
      <c r="A97" s="196" t="s">
        <v>2336</v>
      </c>
      <c r="B97" s="215" t="s">
        <v>2541</v>
      </c>
      <c r="C97" s="218" t="s">
        <v>28</v>
      </c>
    </row>
  </sheetData>
  <hyperlinks>
    <hyperlink ref="A56" r:id="rId1" display="https://www.lazyportfolioetf.com/etf/vanguard-total-stock-market-vti/" xr:uid="{E820168F-4C5E-5C47-AEBB-9F92F29123E6}"/>
    <hyperlink ref="B56" r:id="rId2" display="https://www.lazyportfolioetf.com/etf/vanguard-total-stock-market-vti/" xr:uid="{75320BB5-F682-0643-B2ED-229A0AD32067}"/>
    <hyperlink ref="A74" r:id="rId3" display="https://www.lazyportfolioetf.com/etf/ishares-20-year-treasury-bond/" xr:uid="{7AB407E3-66D8-5041-876B-C0C615EF195D}"/>
    <hyperlink ref="B74" r:id="rId4" display="https://www.lazyportfolioetf.com/etf/ishares-20-year-treasury-bond/" xr:uid="{543DE4A8-3B52-054A-B808-63A5F1669F22}"/>
    <hyperlink ref="A75" r:id="rId5" display="https://www.lazyportfolioetf.com/etf/ishares-3-7-year-treasury-bond-iei/" xr:uid="{63E7B119-3EE1-6F4D-9F8B-023530C7FAFC}"/>
    <hyperlink ref="B75" r:id="rId6" display="https://www.lazyportfolioetf.com/etf/ishares-3-7-year-treasury-bond-iei/" xr:uid="{C49EB525-3CED-6C4F-8625-58B9ACBC5E6F}"/>
    <hyperlink ref="A77" r:id="rId7" display="https://www.lazyportfolioetf.com/etf/spdr-gold-trust-gld/" xr:uid="{9265C594-0DD0-AE46-98C4-1B321AD1414B}"/>
    <hyperlink ref="B77" r:id="rId8" display="https://www.lazyportfolioetf.com/etf/spdr-gold-trust-gld/" xr:uid="{241A3D67-6F22-B440-8E0A-7456D0082609}"/>
    <hyperlink ref="A78" r:id="rId9" display="https://www.lazyportfolioetf.com/etf/ishares-sp-gsci-commodity-indexed-trust-gsg/" xr:uid="{60BCEB30-F072-A44E-BE36-3E97F00A882F}"/>
    <hyperlink ref="B78" r:id="rId10" display="https://www.lazyportfolioetf.com/etf/ishares-sp-gsci-commodity-indexed-trust-gsg/" xr:uid="{8923F013-5289-504A-BD6F-9E9B0657D5EF}"/>
    <hyperlink ref="B76" r:id="rId11" display="https://www.lazyportfolioetf.com/etf/ishares-1-3-year-treasury-bond-shy/" xr:uid="{8BE0B910-4220-9B4D-B88E-1AE2530867F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46D7-8B34-CD4A-9D60-361034A57AD9}">
  <dimension ref="A1:C18"/>
  <sheetViews>
    <sheetView topLeftCell="A7" zoomScale="99" workbookViewId="0">
      <selection activeCell="A10" sqref="A10:XFD12"/>
    </sheetView>
  </sheetViews>
  <sheetFormatPr baseColWidth="10" defaultRowHeight="15"/>
  <cols>
    <col min="2" max="2" width="133.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 ht="41">
      <c r="A2" s="179" t="s">
        <v>19</v>
      </c>
      <c r="B2" s="177" t="s">
        <v>2341</v>
      </c>
      <c r="C2" s="154" t="s">
        <v>28</v>
      </c>
    </row>
    <row r="3" spans="1:3" ht="41">
      <c r="A3" s="179" t="s">
        <v>1091</v>
      </c>
      <c r="B3" s="177" t="s">
        <v>2342</v>
      </c>
      <c r="C3" s="154" t="s">
        <v>28</v>
      </c>
    </row>
    <row r="4" spans="1:3" ht="41">
      <c r="A4" s="176" t="s">
        <v>2328</v>
      </c>
      <c r="B4" s="175" t="s">
        <v>2533</v>
      </c>
      <c r="C4" s="19" t="s">
        <v>28</v>
      </c>
    </row>
    <row r="5" spans="1:3" ht="41">
      <c r="A5" s="19" t="s">
        <v>2329</v>
      </c>
      <c r="B5" s="175" t="s">
        <v>2534</v>
      </c>
      <c r="C5" s="19" t="s">
        <v>28</v>
      </c>
    </row>
    <row r="6" spans="1:3" ht="41">
      <c r="A6" s="19" t="s">
        <v>2330</v>
      </c>
      <c r="B6" s="175" t="s">
        <v>2535</v>
      </c>
      <c r="C6" s="19" t="s">
        <v>28</v>
      </c>
    </row>
    <row r="7" spans="1:3" ht="41">
      <c r="A7" s="19" t="s">
        <v>2331</v>
      </c>
      <c r="B7" s="175" t="s">
        <v>2536</v>
      </c>
      <c r="C7" s="178" t="s">
        <v>28</v>
      </c>
    </row>
    <row r="8" spans="1:3" ht="41">
      <c r="A8" s="19" t="s">
        <v>2332</v>
      </c>
      <c r="B8" s="175" t="s">
        <v>2539</v>
      </c>
      <c r="C8" s="178" t="s">
        <v>28</v>
      </c>
    </row>
    <row r="9" spans="1:3" ht="41">
      <c r="A9" s="19" t="s">
        <v>2333</v>
      </c>
      <c r="B9" s="175" t="s">
        <v>2537</v>
      </c>
      <c r="C9" s="178" t="s">
        <v>28</v>
      </c>
    </row>
    <row r="10" spans="1:3" ht="41">
      <c r="A10" s="19" t="s">
        <v>2334</v>
      </c>
      <c r="B10" s="175" t="s">
        <v>2538</v>
      </c>
      <c r="C10" s="178" t="s">
        <v>28</v>
      </c>
    </row>
    <row r="11" spans="1:3" ht="41">
      <c r="A11" s="19" t="s">
        <v>2335</v>
      </c>
      <c r="B11" s="175" t="s">
        <v>2540</v>
      </c>
      <c r="C11" s="178" t="s">
        <v>28</v>
      </c>
    </row>
    <row r="12" spans="1:3" ht="41">
      <c r="A12" s="19" t="s">
        <v>2336</v>
      </c>
      <c r="B12" s="175" t="s">
        <v>2541</v>
      </c>
      <c r="C12" s="178" t="s">
        <v>28</v>
      </c>
    </row>
    <row r="13" spans="1:3" ht="41">
      <c r="A13" s="19" t="s">
        <v>2337</v>
      </c>
      <c r="B13" s="175" t="s">
        <v>2542</v>
      </c>
      <c r="C13" s="178" t="s">
        <v>28</v>
      </c>
    </row>
    <row r="14" spans="1:3" ht="41">
      <c r="A14" s="19" t="s">
        <v>1862</v>
      </c>
      <c r="B14" s="175" t="s">
        <v>2543</v>
      </c>
      <c r="C14" s="178" t="s">
        <v>28</v>
      </c>
    </row>
    <row r="15" spans="1:3" ht="41">
      <c r="A15" s="19" t="s">
        <v>1863</v>
      </c>
      <c r="B15" s="175" t="s">
        <v>2544</v>
      </c>
      <c r="C15" s="178" t="s">
        <v>28</v>
      </c>
    </row>
    <row r="16" spans="1:3" ht="41">
      <c r="A16" s="19" t="s">
        <v>2338</v>
      </c>
      <c r="B16" s="175" t="s">
        <v>2545</v>
      </c>
      <c r="C16" s="178" t="s">
        <v>28</v>
      </c>
    </row>
    <row r="17" spans="1:3" ht="41">
      <c r="A17" s="19" t="s">
        <v>2339</v>
      </c>
      <c r="B17" s="175" t="s">
        <v>2546</v>
      </c>
      <c r="C17" s="178" t="s">
        <v>28</v>
      </c>
    </row>
    <row r="18" spans="1:3" ht="41">
      <c r="A18" s="19" t="s">
        <v>2340</v>
      </c>
      <c r="B18" s="175" t="s">
        <v>2547</v>
      </c>
      <c r="C18" s="17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1124-E53A-F246-BE24-791A771F1AB5}">
  <dimension ref="A1:D83"/>
  <sheetViews>
    <sheetView topLeftCell="A7" zoomScale="216" workbookViewId="0">
      <selection activeCell="A5" sqref="A5:C20"/>
    </sheetView>
  </sheetViews>
  <sheetFormatPr baseColWidth="10" defaultRowHeight="15"/>
  <cols>
    <col min="1" max="1" width="11.83203125" bestFit="1" customWidth="1"/>
    <col min="2" max="2" width="33.1640625" customWidth="1"/>
    <col min="4" max="4" width="23.6640625" bestFit="1" customWidth="1"/>
  </cols>
  <sheetData>
    <row r="1" spans="1:4" ht="17">
      <c r="A1" s="228" t="s">
        <v>2346</v>
      </c>
      <c r="B1" s="227"/>
      <c r="C1" s="227"/>
      <c r="D1" s="227"/>
    </row>
    <row r="2" spans="1:4">
      <c r="A2" s="229" t="s">
        <v>2347</v>
      </c>
      <c r="B2" s="227"/>
      <c r="C2" s="227"/>
      <c r="D2" s="227"/>
    </row>
    <row r="3" spans="1:4">
      <c r="A3" s="181" t="s">
        <v>2120</v>
      </c>
      <c r="B3" s="181" t="s">
        <v>2121</v>
      </c>
      <c r="C3" s="181" t="s">
        <v>2122</v>
      </c>
      <c r="D3" s="181" t="s">
        <v>2348</v>
      </c>
    </row>
    <row r="4" spans="1:4">
      <c r="A4" s="226" t="s">
        <v>2349</v>
      </c>
      <c r="B4" s="227"/>
      <c r="C4" s="227"/>
      <c r="D4" s="227"/>
    </row>
    <row r="5" spans="1:4">
      <c r="A5" s="182" t="s">
        <v>60</v>
      </c>
      <c r="B5" s="183" t="s">
        <v>2350</v>
      </c>
      <c r="C5" s="184" t="s">
        <v>28</v>
      </c>
      <c r="D5" s="185" t="s">
        <v>2351</v>
      </c>
    </row>
    <row r="6" spans="1:4">
      <c r="A6" s="182" t="s">
        <v>2</v>
      </c>
      <c r="B6" s="183" t="s">
        <v>2352</v>
      </c>
      <c r="C6" s="184" t="s">
        <v>28</v>
      </c>
      <c r="D6" s="185" t="s">
        <v>2353</v>
      </c>
    </row>
    <row r="7" spans="1:4">
      <c r="A7" s="182" t="s">
        <v>1146</v>
      </c>
      <c r="B7" s="183" t="s">
        <v>2354</v>
      </c>
      <c r="C7" s="184" t="s">
        <v>28</v>
      </c>
      <c r="D7" s="185" t="s">
        <v>2480</v>
      </c>
    </row>
    <row r="8" spans="1:4">
      <c r="A8" s="182" t="s">
        <v>1855</v>
      </c>
      <c r="B8" s="183" t="s">
        <v>2355</v>
      </c>
      <c r="C8" s="184" t="s">
        <v>28</v>
      </c>
      <c r="D8" s="185" t="s">
        <v>2481</v>
      </c>
    </row>
    <row r="9" spans="1:4">
      <c r="A9" s="182" t="s">
        <v>20</v>
      </c>
      <c r="B9" s="183" t="s">
        <v>2356</v>
      </c>
      <c r="C9" s="184" t="s">
        <v>28</v>
      </c>
      <c r="D9" s="185" t="s">
        <v>2357</v>
      </c>
    </row>
    <row r="10" spans="1:4">
      <c r="A10" s="182" t="s">
        <v>19</v>
      </c>
      <c r="B10" s="183" t="s">
        <v>1079</v>
      </c>
      <c r="C10" s="184" t="s">
        <v>28</v>
      </c>
      <c r="D10" s="185" t="s">
        <v>2358</v>
      </c>
    </row>
    <row r="11" spans="1:4">
      <c r="A11" s="182" t="s">
        <v>1102</v>
      </c>
      <c r="B11" s="183" t="s">
        <v>2359</v>
      </c>
      <c r="C11" s="184" t="s">
        <v>28</v>
      </c>
      <c r="D11" s="185" t="s">
        <v>2360</v>
      </c>
    </row>
    <row r="12" spans="1:4">
      <c r="A12" s="182" t="s">
        <v>2255</v>
      </c>
      <c r="B12" s="183" t="s">
        <v>2361</v>
      </c>
      <c r="C12" s="184" t="s">
        <v>28</v>
      </c>
      <c r="D12" s="185" t="s">
        <v>2362</v>
      </c>
    </row>
    <row r="13" spans="1:4">
      <c r="A13" s="182" t="s">
        <v>1757</v>
      </c>
      <c r="B13" s="183" t="s">
        <v>2363</v>
      </c>
      <c r="C13" s="184" t="s">
        <v>28</v>
      </c>
      <c r="D13" s="185" t="s">
        <v>2364</v>
      </c>
    </row>
    <row r="14" spans="1:4">
      <c r="A14" s="182" t="s">
        <v>2259</v>
      </c>
      <c r="B14" s="183" t="s">
        <v>2365</v>
      </c>
      <c r="C14" s="184" t="s">
        <v>28</v>
      </c>
      <c r="D14" s="185" t="s">
        <v>2366</v>
      </c>
    </row>
    <row r="15" spans="1:4">
      <c r="A15" s="182" t="s">
        <v>2196</v>
      </c>
      <c r="B15" s="183" t="s">
        <v>2367</v>
      </c>
      <c r="C15" s="184" t="s">
        <v>29</v>
      </c>
      <c r="D15" s="185" t="s">
        <v>2368</v>
      </c>
    </row>
    <row r="16" spans="1:4">
      <c r="A16" s="182" t="s">
        <v>2188</v>
      </c>
      <c r="B16" s="183" t="s">
        <v>2369</v>
      </c>
      <c r="C16" s="184" t="s">
        <v>28</v>
      </c>
      <c r="D16" s="185" t="s">
        <v>2370</v>
      </c>
    </row>
    <row r="17" spans="1:4">
      <c r="A17" s="182" t="s">
        <v>2231</v>
      </c>
      <c r="B17" s="183" t="s">
        <v>2371</v>
      </c>
      <c r="C17" s="184" t="s">
        <v>28</v>
      </c>
      <c r="D17" s="185" t="s">
        <v>2372</v>
      </c>
    </row>
    <row r="18" spans="1:4">
      <c r="A18" s="182" t="s">
        <v>2242</v>
      </c>
      <c r="B18" s="183" t="s">
        <v>2373</v>
      </c>
      <c r="C18" s="184" t="s">
        <v>28</v>
      </c>
      <c r="D18" s="185" t="s">
        <v>2482</v>
      </c>
    </row>
    <row r="19" spans="1:4">
      <c r="A19" s="182" t="s">
        <v>2244</v>
      </c>
      <c r="B19" s="183" t="s">
        <v>2374</v>
      </c>
      <c r="C19" s="184" t="s">
        <v>28</v>
      </c>
      <c r="D19" s="185" t="s">
        <v>2483</v>
      </c>
    </row>
    <row r="20" spans="1:4">
      <c r="A20" s="182" t="s">
        <v>2240</v>
      </c>
      <c r="B20" s="183" t="s">
        <v>2375</v>
      </c>
      <c r="C20" s="184" t="s">
        <v>29</v>
      </c>
      <c r="D20" s="185" t="s">
        <v>2376</v>
      </c>
    </row>
    <row r="21" spans="1:4">
      <c r="A21" s="226" t="s">
        <v>2377</v>
      </c>
      <c r="B21" s="227"/>
      <c r="C21" s="227"/>
      <c r="D21" s="227"/>
    </row>
    <row r="22" spans="1:4">
      <c r="A22" s="186" t="s">
        <v>2378</v>
      </c>
      <c r="B22" s="187" t="s">
        <v>2379</v>
      </c>
      <c r="C22" s="188" t="s">
        <v>28</v>
      </c>
      <c r="D22" s="189" t="s">
        <v>2484</v>
      </c>
    </row>
    <row r="23" spans="1:4">
      <c r="A23" s="190" t="s">
        <v>2380</v>
      </c>
      <c r="B23" s="191" t="s">
        <v>2381</v>
      </c>
      <c r="C23" s="192" t="s">
        <v>28</v>
      </c>
      <c r="D23" s="193" t="s">
        <v>2485</v>
      </c>
    </row>
    <row r="24" spans="1:4">
      <c r="A24" s="186" t="s">
        <v>2382</v>
      </c>
      <c r="B24" s="187" t="s">
        <v>2383</v>
      </c>
      <c r="C24" s="188" t="s">
        <v>28</v>
      </c>
      <c r="D24" s="189" t="s">
        <v>2486</v>
      </c>
    </row>
    <row r="25" spans="1:4">
      <c r="A25" s="226" t="s">
        <v>2384</v>
      </c>
      <c r="B25" s="227"/>
      <c r="C25" s="227"/>
      <c r="D25" s="227"/>
    </row>
    <row r="26" spans="1:4">
      <c r="A26" s="186" t="s">
        <v>2385</v>
      </c>
      <c r="B26" s="187" t="s">
        <v>2386</v>
      </c>
      <c r="C26" s="188" t="s">
        <v>29</v>
      </c>
      <c r="D26" s="189" t="s">
        <v>2487</v>
      </c>
    </row>
    <row r="27" spans="1:4">
      <c r="A27" s="190" t="s">
        <v>2387</v>
      </c>
      <c r="B27" s="191" t="s">
        <v>2388</v>
      </c>
      <c r="C27" s="192" t="s">
        <v>28</v>
      </c>
      <c r="D27" s="193" t="s">
        <v>2488</v>
      </c>
    </row>
    <row r="28" spans="1:4">
      <c r="A28" s="186" t="s">
        <v>2389</v>
      </c>
      <c r="B28" s="187" t="s">
        <v>2390</v>
      </c>
      <c r="C28" s="188" t="s">
        <v>29</v>
      </c>
      <c r="D28" s="189" t="s">
        <v>2489</v>
      </c>
    </row>
    <row r="29" spans="1:4">
      <c r="A29" s="226" t="s">
        <v>2391</v>
      </c>
      <c r="B29" s="227"/>
      <c r="C29" s="227"/>
      <c r="D29" s="227"/>
    </row>
    <row r="30" spans="1:4">
      <c r="A30" s="186" t="s">
        <v>1090</v>
      </c>
      <c r="B30" s="187" t="s">
        <v>1080</v>
      </c>
      <c r="C30" s="188" t="s">
        <v>29</v>
      </c>
      <c r="D30" s="189" t="s">
        <v>2490</v>
      </c>
    </row>
    <row r="31" spans="1:4">
      <c r="A31" s="190" t="s">
        <v>2392</v>
      </c>
      <c r="B31" s="191" t="s">
        <v>2393</v>
      </c>
      <c r="C31" s="192" t="s">
        <v>29</v>
      </c>
      <c r="D31" s="193" t="s">
        <v>2491</v>
      </c>
    </row>
    <row r="32" spans="1:4">
      <c r="A32" s="186" t="s">
        <v>2324</v>
      </c>
      <c r="B32" s="187" t="s">
        <v>2394</v>
      </c>
      <c r="C32" s="188" t="s">
        <v>28</v>
      </c>
      <c r="D32" s="189" t="s">
        <v>2492</v>
      </c>
    </row>
    <row r="33" spans="1:4">
      <c r="A33" s="226" t="s">
        <v>2395</v>
      </c>
      <c r="B33" s="227"/>
      <c r="C33" s="227"/>
      <c r="D33" s="227"/>
    </row>
    <row r="34" spans="1:4">
      <c r="A34" s="186" t="s">
        <v>2240</v>
      </c>
      <c r="B34" s="187" t="s">
        <v>2396</v>
      </c>
      <c r="C34" s="188" t="s">
        <v>29</v>
      </c>
      <c r="D34" s="189" t="s">
        <v>2514</v>
      </c>
    </row>
    <row r="35" spans="1:4">
      <c r="A35" s="190" t="s">
        <v>2397</v>
      </c>
      <c r="B35" s="191" t="s">
        <v>2398</v>
      </c>
      <c r="C35" s="192" t="s">
        <v>28</v>
      </c>
      <c r="D35" s="193" t="s">
        <v>2515</v>
      </c>
    </row>
    <row r="36" spans="1:4">
      <c r="A36" s="186" t="s">
        <v>2399</v>
      </c>
      <c r="B36" s="187" t="s">
        <v>2400</v>
      </c>
      <c r="C36" s="188" t="s">
        <v>28</v>
      </c>
      <c r="D36" s="189" t="s">
        <v>2516</v>
      </c>
    </row>
    <row r="37" spans="1:4">
      <c r="A37" s="190" t="s">
        <v>2401</v>
      </c>
      <c r="B37" s="191" t="s">
        <v>2402</v>
      </c>
      <c r="C37" s="192" t="s">
        <v>28</v>
      </c>
      <c r="D37" s="193" t="s">
        <v>2517</v>
      </c>
    </row>
    <row r="38" spans="1:4">
      <c r="A38" s="226" t="s">
        <v>2403</v>
      </c>
      <c r="B38" s="227"/>
      <c r="C38" s="227"/>
      <c r="D38" s="227"/>
    </row>
    <row r="39" spans="1:4">
      <c r="A39" s="190" t="s">
        <v>2404</v>
      </c>
      <c r="B39" s="191" t="s">
        <v>2405</v>
      </c>
      <c r="C39" s="192" t="s">
        <v>28</v>
      </c>
      <c r="D39" s="193" t="s">
        <v>2493</v>
      </c>
    </row>
    <row r="40" spans="1:4">
      <c r="A40" s="186" t="s">
        <v>2406</v>
      </c>
      <c r="B40" s="187" t="s">
        <v>2407</v>
      </c>
      <c r="C40" s="188" t="s">
        <v>28</v>
      </c>
      <c r="D40" s="189" t="s">
        <v>2494</v>
      </c>
    </row>
    <row r="41" spans="1:4">
      <c r="A41" s="190" t="s">
        <v>2408</v>
      </c>
      <c r="B41" s="191" t="s">
        <v>2409</v>
      </c>
      <c r="C41" s="192" t="s">
        <v>28</v>
      </c>
      <c r="D41" s="193" t="s">
        <v>2495</v>
      </c>
    </row>
    <row r="42" spans="1:4">
      <c r="A42" s="226" t="s">
        <v>2410</v>
      </c>
      <c r="B42" s="227"/>
      <c r="C42" s="227"/>
      <c r="D42" s="227"/>
    </row>
    <row r="43" spans="1:4">
      <c r="A43" s="190" t="s">
        <v>2411</v>
      </c>
      <c r="B43" s="191" t="s">
        <v>2412</v>
      </c>
      <c r="C43" s="192" t="s">
        <v>28</v>
      </c>
      <c r="D43" s="193" t="s">
        <v>2496</v>
      </c>
    </row>
    <row r="44" spans="1:4">
      <c r="A44" s="186" t="s">
        <v>2413</v>
      </c>
      <c r="B44" s="187" t="s">
        <v>2414</v>
      </c>
      <c r="C44" s="188" t="s">
        <v>28</v>
      </c>
      <c r="D44" s="189" t="s">
        <v>2497</v>
      </c>
    </row>
    <row r="45" spans="1:4">
      <c r="A45" s="190" t="s">
        <v>2415</v>
      </c>
      <c r="B45" s="191" t="s">
        <v>2416</v>
      </c>
      <c r="C45" s="192" t="s">
        <v>28</v>
      </c>
      <c r="D45" s="193" t="s">
        <v>2498</v>
      </c>
    </row>
    <row r="46" spans="1:4">
      <c r="A46" s="226" t="s">
        <v>2417</v>
      </c>
      <c r="B46" s="227"/>
      <c r="C46" s="227"/>
      <c r="D46" s="227"/>
    </row>
    <row r="47" spans="1:4">
      <c r="A47" s="190" t="s">
        <v>2418</v>
      </c>
      <c r="B47" s="191" t="s">
        <v>2419</v>
      </c>
      <c r="C47" s="192" t="s">
        <v>28</v>
      </c>
      <c r="D47" s="193" t="s">
        <v>2499</v>
      </c>
    </row>
    <row r="48" spans="1:4">
      <c r="A48" s="186" t="s">
        <v>2420</v>
      </c>
      <c r="B48" s="187" t="s">
        <v>2421</v>
      </c>
      <c r="C48" s="188" t="s">
        <v>28</v>
      </c>
      <c r="D48" s="189" t="s">
        <v>2500</v>
      </c>
    </row>
    <row r="49" spans="1:4">
      <c r="A49" s="190" t="s">
        <v>2422</v>
      </c>
      <c r="B49" s="191" t="s">
        <v>2423</v>
      </c>
      <c r="C49" s="192" t="s">
        <v>28</v>
      </c>
      <c r="D49" s="193" t="s">
        <v>2501</v>
      </c>
    </row>
    <row r="50" spans="1:4">
      <c r="A50" s="226" t="s">
        <v>2424</v>
      </c>
      <c r="B50" s="227"/>
      <c r="C50" s="227"/>
      <c r="D50" s="227"/>
    </row>
    <row r="51" spans="1:4">
      <c r="A51" s="190" t="s">
        <v>2425</v>
      </c>
      <c r="B51" s="191" t="s">
        <v>2426</v>
      </c>
      <c r="C51" s="192" t="s">
        <v>28</v>
      </c>
      <c r="D51" s="193" t="s">
        <v>2502</v>
      </c>
    </row>
    <row r="52" spans="1:4">
      <c r="A52" s="186" t="s">
        <v>2427</v>
      </c>
      <c r="B52" s="187" t="s">
        <v>2428</v>
      </c>
      <c r="C52" s="188" t="s">
        <v>28</v>
      </c>
      <c r="D52" s="189" t="s">
        <v>2503</v>
      </c>
    </row>
    <row r="53" spans="1:4">
      <c r="A53" s="190" t="s">
        <v>2429</v>
      </c>
      <c r="B53" s="191" t="s">
        <v>2430</v>
      </c>
      <c r="C53" s="192" t="s">
        <v>28</v>
      </c>
      <c r="D53" s="193" t="s">
        <v>2504</v>
      </c>
    </row>
    <row r="54" spans="1:4">
      <c r="A54" s="226" t="s">
        <v>2431</v>
      </c>
      <c r="B54" s="227"/>
      <c r="C54" s="227"/>
      <c r="D54" s="227"/>
    </row>
    <row r="55" spans="1:4">
      <c r="A55" s="190" t="s">
        <v>1735</v>
      </c>
      <c r="B55" s="191" t="s">
        <v>2432</v>
      </c>
      <c r="C55" s="192" t="s">
        <v>28</v>
      </c>
      <c r="D55" s="193" t="s">
        <v>2505</v>
      </c>
    </row>
    <row r="56" spans="1:4">
      <c r="A56" s="186" t="s">
        <v>2433</v>
      </c>
      <c r="B56" s="187" t="s">
        <v>2434</v>
      </c>
      <c r="C56" s="188" t="s">
        <v>28</v>
      </c>
      <c r="D56" s="189" t="s">
        <v>2506</v>
      </c>
    </row>
    <row r="57" spans="1:4">
      <c r="A57" s="190" t="s">
        <v>2435</v>
      </c>
      <c r="B57" s="191" t="s">
        <v>2436</v>
      </c>
      <c r="C57" s="192" t="s">
        <v>29</v>
      </c>
      <c r="D57" s="193" t="s">
        <v>2507</v>
      </c>
    </row>
    <row r="58" spans="1:4">
      <c r="A58" s="226" t="s">
        <v>2437</v>
      </c>
      <c r="B58" s="227"/>
      <c r="C58" s="227"/>
      <c r="D58" s="227"/>
    </row>
    <row r="59" spans="1:4">
      <c r="A59" s="190" t="s">
        <v>2438</v>
      </c>
      <c r="B59" s="191" t="s">
        <v>2439</v>
      </c>
      <c r="C59" s="192" t="s">
        <v>28</v>
      </c>
      <c r="D59" s="193" t="s">
        <v>2508</v>
      </c>
    </row>
    <row r="60" spans="1:4">
      <c r="A60" s="186" t="s">
        <v>2440</v>
      </c>
      <c r="B60" s="187" t="s">
        <v>2441</v>
      </c>
      <c r="C60" s="188" t="s">
        <v>28</v>
      </c>
      <c r="D60" s="189" t="s">
        <v>2509</v>
      </c>
    </row>
    <row r="61" spans="1:4">
      <c r="A61" s="190" t="s">
        <v>2442</v>
      </c>
      <c r="B61" s="191" t="s">
        <v>2443</v>
      </c>
      <c r="C61" s="192" t="s">
        <v>29</v>
      </c>
      <c r="D61" s="193" t="s">
        <v>2510</v>
      </c>
    </row>
    <row r="62" spans="1:4">
      <c r="A62" s="226" t="s">
        <v>2444</v>
      </c>
      <c r="B62" s="227"/>
      <c r="C62" s="227"/>
      <c r="D62" s="227"/>
    </row>
    <row r="63" spans="1:4">
      <c r="A63" s="190" t="s">
        <v>2445</v>
      </c>
      <c r="B63" s="191" t="s">
        <v>2446</v>
      </c>
      <c r="C63" s="192" t="s">
        <v>28</v>
      </c>
      <c r="D63" s="193" t="s">
        <v>2529</v>
      </c>
    </row>
    <row r="64" spans="1:4">
      <c r="A64" s="186" t="s">
        <v>2447</v>
      </c>
      <c r="B64" s="187" t="s">
        <v>2448</v>
      </c>
      <c r="C64" s="188" t="s">
        <v>28</v>
      </c>
      <c r="D64" s="189" t="s">
        <v>2530</v>
      </c>
    </row>
    <row r="65" spans="1:4">
      <c r="A65" s="226" t="s">
        <v>2449</v>
      </c>
      <c r="B65" s="227"/>
      <c r="C65" s="227"/>
      <c r="D65" s="227"/>
    </row>
    <row r="66" spans="1:4">
      <c r="A66" s="186" t="s">
        <v>2134</v>
      </c>
      <c r="B66" s="187" t="s">
        <v>2450</v>
      </c>
      <c r="C66" s="188" t="s">
        <v>28</v>
      </c>
      <c r="D66" s="189" t="s">
        <v>2511</v>
      </c>
    </row>
    <row r="67" spans="1:4">
      <c r="A67" s="190" t="s">
        <v>2451</v>
      </c>
      <c r="B67" s="191" t="s">
        <v>2452</v>
      </c>
      <c r="C67" s="192" t="s">
        <v>29</v>
      </c>
      <c r="D67" s="193" t="s">
        <v>2512</v>
      </c>
    </row>
    <row r="68" spans="1:4">
      <c r="A68" s="186" t="s">
        <v>2453</v>
      </c>
      <c r="B68" s="187" t="s">
        <v>2454</v>
      </c>
      <c r="C68" s="188" t="s">
        <v>29</v>
      </c>
      <c r="D68" s="189" t="s">
        <v>2513</v>
      </c>
    </row>
    <row r="69" spans="1:4">
      <c r="A69" s="226" t="s">
        <v>2455</v>
      </c>
      <c r="B69" s="227"/>
      <c r="C69" s="227"/>
      <c r="D69" s="227"/>
    </row>
    <row r="70" spans="1:4">
      <c r="A70" s="186" t="s">
        <v>2456</v>
      </c>
      <c r="B70" s="187" t="s">
        <v>2457</v>
      </c>
      <c r="C70" s="188" t="s">
        <v>28</v>
      </c>
      <c r="D70" s="189" t="s">
        <v>2518</v>
      </c>
    </row>
    <row r="71" spans="1:4">
      <c r="A71" s="190" t="s">
        <v>2458</v>
      </c>
      <c r="B71" s="191" t="s">
        <v>2459</v>
      </c>
      <c r="C71" s="192" t="s">
        <v>28</v>
      </c>
      <c r="D71" s="193" t="s">
        <v>2519</v>
      </c>
    </row>
    <row r="72" spans="1:4">
      <c r="A72" s="226" t="s">
        <v>2460</v>
      </c>
      <c r="B72" s="227"/>
      <c r="C72" s="227"/>
      <c r="D72" s="227"/>
    </row>
    <row r="73" spans="1:4">
      <c r="A73" s="190" t="s">
        <v>2461</v>
      </c>
      <c r="B73" s="191" t="s">
        <v>2462</v>
      </c>
      <c r="C73" s="192" t="s">
        <v>29</v>
      </c>
      <c r="D73" s="193" t="s">
        <v>2520</v>
      </c>
    </row>
    <row r="74" spans="1:4">
      <c r="A74" s="186" t="s">
        <v>2463</v>
      </c>
      <c r="B74" s="187" t="s">
        <v>2464</v>
      </c>
      <c r="C74" s="188" t="s">
        <v>29</v>
      </c>
      <c r="D74" s="189" t="s">
        <v>2521</v>
      </c>
    </row>
    <row r="75" spans="1:4">
      <c r="A75" s="190" t="s">
        <v>2465</v>
      </c>
      <c r="B75" s="191" t="s">
        <v>2466</v>
      </c>
      <c r="C75" s="192" t="s">
        <v>28</v>
      </c>
      <c r="D75" s="193" t="s">
        <v>2522</v>
      </c>
    </row>
    <row r="76" spans="1:4">
      <c r="A76" s="226" t="s">
        <v>2467</v>
      </c>
      <c r="B76" s="227"/>
      <c r="C76" s="227"/>
      <c r="D76" s="227"/>
    </row>
    <row r="77" spans="1:4">
      <c r="A77" s="190" t="s">
        <v>2468</v>
      </c>
      <c r="B77" s="191" t="s">
        <v>2469</v>
      </c>
      <c r="C77" s="192" t="s">
        <v>28</v>
      </c>
      <c r="D77" s="193" t="s">
        <v>2523</v>
      </c>
    </row>
    <row r="78" spans="1:4">
      <c r="A78" s="186" t="s">
        <v>2470</v>
      </c>
      <c r="B78" s="187" t="s">
        <v>2471</v>
      </c>
      <c r="C78" s="188" t="s">
        <v>28</v>
      </c>
      <c r="D78" s="189" t="s">
        <v>2524</v>
      </c>
    </row>
    <row r="79" spans="1:4">
      <c r="A79" s="190" t="s">
        <v>2472</v>
      </c>
      <c r="B79" s="191" t="s">
        <v>2473</v>
      </c>
      <c r="C79" s="192" t="s">
        <v>28</v>
      </c>
      <c r="D79" s="193" t="s">
        <v>2525</v>
      </c>
    </row>
    <row r="80" spans="1:4">
      <c r="A80" s="226" t="s">
        <v>2474</v>
      </c>
      <c r="B80" s="227"/>
      <c r="C80" s="227"/>
      <c r="D80" s="227"/>
    </row>
    <row r="81" spans="1:4">
      <c r="A81" s="190" t="s">
        <v>2231</v>
      </c>
      <c r="B81" s="191" t="s">
        <v>2475</v>
      </c>
      <c r="C81" s="192" t="s">
        <v>28</v>
      </c>
      <c r="D81" s="193" t="s">
        <v>2526</v>
      </c>
    </row>
    <row r="82" spans="1:4">
      <c r="A82" s="186" t="s">
        <v>2476</v>
      </c>
      <c r="B82" s="187" t="s">
        <v>2477</v>
      </c>
      <c r="C82" s="188" t="s">
        <v>28</v>
      </c>
      <c r="D82" s="189" t="s">
        <v>2527</v>
      </c>
    </row>
    <row r="83" spans="1:4">
      <c r="A83" s="190" t="s">
        <v>2478</v>
      </c>
      <c r="B83" s="191" t="s">
        <v>2479</v>
      </c>
      <c r="C83" s="192" t="s">
        <v>28</v>
      </c>
      <c r="D83" s="193" t="s">
        <v>2528</v>
      </c>
    </row>
  </sheetData>
  <mergeCells count="19">
    <mergeCell ref="A54:D54"/>
    <mergeCell ref="A1:D1"/>
    <mergeCell ref="A2:D2"/>
    <mergeCell ref="A4:D4"/>
    <mergeCell ref="A21:D21"/>
    <mergeCell ref="A25:D25"/>
    <mergeCell ref="A29:D29"/>
    <mergeCell ref="A33:D33"/>
    <mergeCell ref="A38:D38"/>
    <mergeCell ref="A42:D42"/>
    <mergeCell ref="A46:D46"/>
    <mergeCell ref="A50:D50"/>
    <mergeCell ref="A80:D80"/>
    <mergeCell ref="A58:D58"/>
    <mergeCell ref="A62:D62"/>
    <mergeCell ref="A65:D65"/>
    <mergeCell ref="A69:D69"/>
    <mergeCell ref="A72:D72"/>
    <mergeCell ref="A76:D7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D6D3-88F7-0041-B25A-298FA91F959E}">
  <dimension ref="A1:F63"/>
  <sheetViews>
    <sheetView topLeftCell="A26" workbookViewId="0">
      <selection activeCell="A33" sqref="A33:C61"/>
    </sheetView>
  </sheetViews>
  <sheetFormatPr baseColWidth="10" defaultRowHeight="15"/>
  <cols>
    <col min="1" max="1" width="27.6640625" customWidth="1"/>
    <col min="2" max="2" width="19" customWidth="1"/>
  </cols>
  <sheetData>
    <row r="1" spans="1:6" ht="18">
      <c r="A1" s="158" t="s">
        <v>2120</v>
      </c>
      <c r="B1" s="159" t="s">
        <v>2121</v>
      </c>
      <c r="C1" s="154" t="s">
        <v>2122</v>
      </c>
    </row>
    <row r="2" spans="1:6" ht="18">
      <c r="A2" s="162" t="s">
        <v>60</v>
      </c>
      <c r="B2" s="162" t="s">
        <v>711</v>
      </c>
      <c r="C2" s="162" t="s">
        <v>28</v>
      </c>
    </row>
    <row r="3" spans="1:6" ht="18">
      <c r="A3" s="162" t="s">
        <v>2</v>
      </c>
      <c r="B3" s="162" t="s">
        <v>2098</v>
      </c>
      <c r="C3" s="162" t="s">
        <v>28</v>
      </c>
    </row>
    <row r="4" spans="1:6" ht="18">
      <c r="A4" s="154" t="s">
        <v>1146</v>
      </c>
      <c r="B4" s="154" t="s">
        <v>1856</v>
      </c>
      <c r="C4" s="154" t="s">
        <v>28</v>
      </c>
    </row>
    <row r="5" spans="1:6" ht="18">
      <c r="A5" s="164" t="s">
        <v>1855</v>
      </c>
      <c r="B5" s="164" t="s">
        <v>2101</v>
      </c>
      <c r="C5" s="164" t="s">
        <v>28</v>
      </c>
    </row>
    <row r="6" spans="1:6" ht="18">
      <c r="A6" s="164" t="s">
        <v>20</v>
      </c>
      <c r="B6" s="164" t="s">
        <v>725</v>
      </c>
      <c r="C6" s="164" t="s">
        <v>28</v>
      </c>
    </row>
    <row r="7" spans="1:6" ht="18">
      <c r="A7" s="164" t="s">
        <v>19</v>
      </c>
      <c r="B7" s="164" t="s">
        <v>2129</v>
      </c>
      <c r="C7" s="164" t="s">
        <v>28</v>
      </c>
    </row>
    <row r="8" spans="1:6" ht="24">
      <c r="A8" s="170" t="s">
        <v>1102</v>
      </c>
      <c r="B8" s="164" t="s">
        <v>2246</v>
      </c>
      <c r="C8" s="164" t="s">
        <v>28</v>
      </c>
    </row>
    <row r="9" spans="1:6" ht="18">
      <c r="A9" s="164" t="s">
        <v>2247</v>
      </c>
      <c r="B9" s="164" t="s">
        <v>2248</v>
      </c>
      <c r="C9" s="164" t="s">
        <v>28</v>
      </c>
      <c r="D9" s="171"/>
    </row>
    <row r="10" spans="1:6" ht="30">
      <c r="A10" s="169" t="s">
        <v>2249</v>
      </c>
      <c r="B10" s="164" t="s">
        <v>2250</v>
      </c>
      <c r="C10" s="164" t="s">
        <v>28</v>
      </c>
      <c r="D10" s="171"/>
      <c r="F10" s="19"/>
    </row>
    <row r="11" spans="1:6" ht="30">
      <c r="A11" s="169" t="s">
        <v>2251</v>
      </c>
      <c r="B11" s="164" t="s">
        <v>2252</v>
      </c>
      <c r="C11" s="164" t="s">
        <v>28</v>
      </c>
      <c r="D11" s="171"/>
    </row>
    <row r="12" spans="1:6" ht="24">
      <c r="A12" s="170" t="s">
        <v>2265</v>
      </c>
      <c r="B12" s="164" t="s">
        <v>1980</v>
      </c>
      <c r="C12" s="164" t="s">
        <v>28</v>
      </c>
      <c r="D12" s="171"/>
    </row>
    <row r="13" spans="1:6" ht="24">
      <c r="A13" s="170" t="s">
        <v>2266</v>
      </c>
      <c r="B13" s="164" t="s">
        <v>1965</v>
      </c>
      <c r="C13" s="164" t="s">
        <v>28</v>
      </c>
      <c r="D13" s="171"/>
    </row>
    <row r="14" spans="1:6" ht="18">
      <c r="A14" s="19" t="s">
        <v>2253</v>
      </c>
      <c r="B14" s="164" t="s">
        <v>2254</v>
      </c>
      <c r="C14" s="164" t="s">
        <v>28</v>
      </c>
      <c r="D14" s="171"/>
    </row>
    <row r="15" spans="1:6" ht="18">
      <c r="A15" s="32" t="s">
        <v>2255</v>
      </c>
      <c r="B15" s="164" t="s">
        <v>2256</v>
      </c>
      <c r="C15" s="164" t="s">
        <v>28</v>
      </c>
      <c r="D15" s="171"/>
    </row>
    <row r="16" spans="1:6" ht="18">
      <c r="A16" s="19" t="s">
        <v>2257</v>
      </c>
      <c r="B16" s="164" t="s">
        <v>1975</v>
      </c>
      <c r="C16" s="164" t="s">
        <v>28</v>
      </c>
      <c r="D16" s="171"/>
    </row>
    <row r="17" spans="1:4" ht="18">
      <c r="A17" s="19" t="s">
        <v>1757</v>
      </c>
      <c r="B17" s="164" t="s">
        <v>2258</v>
      </c>
      <c r="C17" s="164" t="s">
        <v>28</v>
      </c>
      <c r="D17" s="171"/>
    </row>
    <row r="18" spans="1:4" ht="18">
      <c r="A18" s="19" t="s">
        <v>2259</v>
      </c>
      <c r="B18" s="164" t="s">
        <v>2260</v>
      </c>
      <c r="C18" s="164" t="s">
        <v>28</v>
      </c>
      <c r="D18" s="171"/>
    </row>
    <row r="19" spans="1:4" ht="18">
      <c r="A19" s="19" t="s">
        <v>2261</v>
      </c>
      <c r="B19" s="164" t="s">
        <v>1974</v>
      </c>
      <c r="C19" s="164" t="s">
        <v>28</v>
      </c>
      <c r="D19" s="171"/>
    </row>
    <row r="20" spans="1:4" ht="24">
      <c r="A20" s="170" t="s">
        <v>2267</v>
      </c>
      <c r="B20" s="164" t="s">
        <v>2262</v>
      </c>
      <c r="C20" s="164" t="s">
        <v>28</v>
      </c>
      <c r="D20" s="171"/>
    </row>
    <row r="21" spans="1:4" ht="18">
      <c r="A21" s="154" t="s">
        <v>2231</v>
      </c>
      <c r="B21" s="154" t="s">
        <v>2232</v>
      </c>
      <c r="C21" s="154" t="s">
        <v>28</v>
      </c>
      <c r="D21" s="171"/>
    </row>
    <row r="22" spans="1:4" ht="18">
      <c r="A22" s="166" t="s">
        <v>2202</v>
      </c>
      <c r="B22" s="167" t="s">
        <v>2203</v>
      </c>
      <c r="C22" s="157" t="s">
        <v>28</v>
      </c>
    </row>
    <row r="23" spans="1:4" ht="18">
      <c r="A23" s="153" t="s">
        <v>2205</v>
      </c>
      <c r="B23" s="167" t="s">
        <v>2204</v>
      </c>
      <c r="C23" s="157" t="s">
        <v>28</v>
      </c>
    </row>
    <row r="24" spans="1:4" ht="18">
      <c r="A24" s="153" t="s">
        <v>2206</v>
      </c>
      <c r="B24" s="167" t="s">
        <v>1138</v>
      </c>
      <c r="C24" s="157" t="s">
        <v>28</v>
      </c>
    </row>
    <row r="25" spans="1:4" ht="18">
      <c r="A25" s="153" t="s">
        <v>2238</v>
      </c>
      <c r="B25" s="168" t="s">
        <v>2239</v>
      </c>
      <c r="C25" s="157" t="s">
        <v>28</v>
      </c>
    </row>
    <row r="26" spans="1:4" ht="18">
      <c r="A26" s="154" t="s">
        <v>100</v>
      </c>
      <c r="B26" s="154" t="s">
        <v>2235</v>
      </c>
      <c r="C26" s="157" t="s">
        <v>28</v>
      </c>
    </row>
    <row r="27" spans="1:4" ht="18">
      <c r="A27" s="154" t="s">
        <v>76</v>
      </c>
      <c r="B27" s="154" t="s">
        <v>2236</v>
      </c>
      <c r="C27" s="157" t="s">
        <v>28</v>
      </c>
    </row>
    <row r="28" spans="1:4" ht="18">
      <c r="A28" s="154" t="s">
        <v>1044</v>
      </c>
      <c r="B28" s="154" t="s">
        <v>2237</v>
      </c>
      <c r="C28" s="157" t="s">
        <v>28</v>
      </c>
    </row>
    <row r="29" spans="1:4" ht="41">
      <c r="A29" s="154" t="s">
        <v>2325</v>
      </c>
      <c r="B29" s="175" t="s">
        <v>2322</v>
      </c>
      <c r="C29" s="157" t="s">
        <v>28</v>
      </c>
    </row>
    <row r="30" spans="1:4" ht="41">
      <c r="A30" s="154" t="s">
        <v>2324</v>
      </c>
      <c r="B30" s="175" t="s">
        <v>2323</v>
      </c>
      <c r="C30" s="157" t="s">
        <v>28</v>
      </c>
    </row>
    <row r="31" spans="1:4" ht="41">
      <c r="A31" s="154" t="s">
        <v>2326</v>
      </c>
      <c r="B31" s="175" t="s">
        <v>2327</v>
      </c>
      <c r="C31" s="157" t="s">
        <v>28</v>
      </c>
    </row>
    <row r="32" spans="1:4" ht="18">
      <c r="A32" s="32" t="s">
        <v>2240</v>
      </c>
      <c r="B32" s="154" t="s">
        <v>2241</v>
      </c>
      <c r="C32" s="154" t="s">
        <v>29</v>
      </c>
    </row>
    <row r="33" spans="1:6">
      <c r="A33" s="32" t="s">
        <v>928</v>
      </c>
      <c r="B33" s="172" t="s">
        <v>2268</v>
      </c>
      <c r="C33" s="172" t="s">
        <v>28</v>
      </c>
      <c r="D33" s="172"/>
      <c r="E33" s="173"/>
      <c r="F33" s="174"/>
    </row>
    <row r="34" spans="1:6">
      <c r="A34" s="32" t="s">
        <v>2269</v>
      </c>
      <c r="B34" s="172" t="s">
        <v>2270</v>
      </c>
      <c r="C34" s="172" t="s">
        <v>28</v>
      </c>
      <c r="D34" s="172"/>
      <c r="E34" s="173"/>
      <c r="F34" s="174"/>
    </row>
    <row r="35" spans="1:6">
      <c r="A35" s="32" t="s">
        <v>2271</v>
      </c>
      <c r="B35" s="172" t="s">
        <v>2272</v>
      </c>
      <c r="C35" s="172" t="s">
        <v>28</v>
      </c>
      <c r="D35" s="172"/>
      <c r="E35" s="173"/>
      <c r="F35" s="174"/>
    </row>
    <row r="36" spans="1:6">
      <c r="A36" s="32" t="s">
        <v>2273</v>
      </c>
      <c r="B36" s="172" t="s">
        <v>2274</v>
      </c>
      <c r="C36" s="172" t="s">
        <v>28</v>
      </c>
      <c r="D36" s="172"/>
      <c r="E36" s="173"/>
      <c r="F36" s="172"/>
    </row>
    <row r="37" spans="1:6">
      <c r="A37" s="32" t="s">
        <v>2275</v>
      </c>
      <c r="B37" s="172" t="s">
        <v>2276</v>
      </c>
      <c r="C37" s="172" t="s">
        <v>28</v>
      </c>
      <c r="D37" s="172"/>
      <c r="E37" s="173"/>
      <c r="F37" s="174"/>
    </row>
    <row r="38" spans="1:6">
      <c r="A38" s="32" t="s">
        <v>2277</v>
      </c>
      <c r="B38" s="172" t="s">
        <v>2278</v>
      </c>
      <c r="C38" s="172" t="s">
        <v>28</v>
      </c>
      <c r="D38" s="172"/>
      <c r="E38" s="173"/>
      <c r="F38" s="174"/>
    </row>
    <row r="39" spans="1:6">
      <c r="A39" s="32" t="s">
        <v>2279</v>
      </c>
      <c r="B39" s="172" t="s">
        <v>2280</v>
      </c>
      <c r="C39" s="172" t="s">
        <v>28</v>
      </c>
      <c r="D39" s="172"/>
      <c r="E39" s="173"/>
      <c r="F39" s="174"/>
    </row>
    <row r="40" spans="1:6">
      <c r="A40" s="32" t="s">
        <v>2281</v>
      </c>
      <c r="B40" s="172" t="s">
        <v>2282</v>
      </c>
      <c r="C40" s="172" t="s">
        <v>28</v>
      </c>
      <c r="D40" s="172"/>
      <c r="E40" s="173"/>
      <c r="F40" s="174"/>
    </row>
    <row r="41" spans="1:6">
      <c r="A41" s="32" t="s">
        <v>2283</v>
      </c>
      <c r="B41" s="172" t="s">
        <v>2284</v>
      </c>
      <c r="C41" s="172" t="s">
        <v>28</v>
      </c>
      <c r="D41" s="172"/>
      <c r="E41" s="173"/>
      <c r="F41" s="174"/>
    </row>
    <row r="42" spans="1:6">
      <c r="A42" s="32" t="s">
        <v>2285</v>
      </c>
      <c r="B42" s="172" t="s">
        <v>2286</v>
      </c>
      <c r="C42" s="172" t="s">
        <v>28</v>
      </c>
      <c r="D42" s="172"/>
      <c r="E42" s="173"/>
      <c r="F42" s="172"/>
    </row>
    <row r="43" spans="1:6">
      <c r="A43" s="32" t="s">
        <v>2287</v>
      </c>
      <c r="B43" s="172" t="s">
        <v>2288</v>
      </c>
      <c r="C43" s="172" t="s">
        <v>28</v>
      </c>
      <c r="D43" s="172"/>
      <c r="E43" s="173"/>
      <c r="F43" s="174"/>
    </row>
    <row r="44" spans="1:6">
      <c r="A44" s="32" t="s">
        <v>2289</v>
      </c>
      <c r="B44" s="172" t="s">
        <v>2290</v>
      </c>
      <c r="C44" s="172" t="s">
        <v>28</v>
      </c>
      <c r="D44" s="172"/>
      <c r="E44" s="173"/>
      <c r="F44" s="174"/>
    </row>
    <row r="45" spans="1:6">
      <c r="A45" s="32" t="s">
        <v>2291</v>
      </c>
      <c r="B45" s="172" t="s">
        <v>2292</v>
      </c>
      <c r="C45" s="172" t="s">
        <v>28</v>
      </c>
      <c r="D45" s="172"/>
      <c r="E45" s="173"/>
      <c r="F45" s="174"/>
    </row>
    <row r="46" spans="1:6">
      <c r="A46" s="32" t="s">
        <v>918</v>
      </c>
      <c r="B46" s="172" t="s">
        <v>2293</v>
      </c>
      <c r="C46" s="172" t="s">
        <v>28</v>
      </c>
      <c r="D46" s="172"/>
      <c r="E46" s="173"/>
      <c r="F46" s="174"/>
    </row>
    <row r="47" spans="1:6">
      <c r="A47" s="32" t="s">
        <v>2294</v>
      </c>
      <c r="B47" s="172" t="s">
        <v>2295</v>
      </c>
      <c r="C47" s="172" t="s">
        <v>28</v>
      </c>
      <c r="D47" s="172"/>
      <c r="E47" s="173"/>
      <c r="F47" s="174"/>
    </row>
    <row r="48" spans="1:6">
      <c r="A48" s="32" t="s">
        <v>2296</v>
      </c>
      <c r="B48" s="172" t="s">
        <v>2297</v>
      </c>
      <c r="C48" s="172" t="s">
        <v>28</v>
      </c>
      <c r="D48" s="172"/>
      <c r="E48" s="173"/>
      <c r="F48" s="174"/>
    </row>
    <row r="49" spans="1:6">
      <c r="A49" s="32" t="s">
        <v>2298</v>
      </c>
      <c r="B49" s="172" t="s">
        <v>2299</v>
      </c>
      <c r="C49" s="172" t="s">
        <v>28</v>
      </c>
      <c r="D49" s="172"/>
      <c r="E49" s="173"/>
      <c r="F49" s="174"/>
    </row>
    <row r="50" spans="1:6">
      <c r="A50" s="32" t="s">
        <v>2300</v>
      </c>
      <c r="B50" s="172" t="s">
        <v>2301</v>
      </c>
      <c r="C50" s="172" t="s">
        <v>28</v>
      </c>
      <c r="D50" s="172"/>
      <c r="E50" s="173"/>
      <c r="F50" s="174"/>
    </row>
    <row r="51" spans="1:6">
      <c r="A51" s="32" t="s">
        <v>2302</v>
      </c>
      <c r="B51" s="172" t="s">
        <v>2303</v>
      </c>
      <c r="C51" s="172" t="s">
        <v>28</v>
      </c>
      <c r="D51" s="172"/>
      <c r="E51" s="173"/>
      <c r="F51" s="174"/>
    </row>
    <row r="52" spans="1:6">
      <c r="A52" s="32" t="s">
        <v>930</v>
      </c>
      <c r="B52" s="172" t="s">
        <v>2304</v>
      </c>
      <c r="C52" s="172" t="s">
        <v>28</v>
      </c>
      <c r="D52" s="172"/>
      <c r="E52" s="173"/>
      <c r="F52" s="174"/>
    </row>
    <row r="53" spans="1:6">
      <c r="A53" s="32" t="s">
        <v>2305</v>
      </c>
      <c r="B53" s="172" t="s">
        <v>2306</v>
      </c>
      <c r="C53" s="172" t="s">
        <v>28</v>
      </c>
      <c r="D53" s="172"/>
      <c r="E53" s="173"/>
      <c r="F53" s="174"/>
    </row>
    <row r="54" spans="1:6">
      <c r="A54" s="32" t="s">
        <v>2307</v>
      </c>
      <c r="B54" s="172" t="s">
        <v>2308</v>
      </c>
      <c r="C54" s="172" t="s">
        <v>28</v>
      </c>
      <c r="D54" s="172"/>
      <c r="E54" s="173"/>
      <c r="F54" s="174"/>
    </row>
    <row r="55" spans="1:6">
      <c r="A55" s="32" t="s">
        <v>920</v>
      </c>
      <c r="B55" s="172" t="s">
        <v>2309</v>
      </c>
      <c r="C55" s="172" t="s">
        <v>28</v>
      </c>
      <c r="D55" s="172"/>
      <c r="E55" s="173"/>
      <c r="F55" s="172"/>
    </row>
    <row r="56" spans="1:6">
      <c r="A56" s="32" t="s">
        <v>2310</v>
      </c>
      <c r="B56" s="172" t="s">
        <v>2311</v>
      </c>
      <c r="C56" s="172" t="s">
        <v>28</v>
      </c>
      <c r="D56" s="172"/>
      <c r="E56" s="173"/>
      <c r="F56" s="174"/>
    </row>
    <row r="57" spans="1:6">
      <c r="A57" s="32" t="s">
        <v>2312</v>
      </c>
      <c r="B57" s="172" t="s">
        <v>2313</v>
      </c>
      <c r="C57" s="172" t="s">
        <v>28</v>
      </c>
      <c r="D57" s="172"/>
      <c r="E57" s="173"/>
      <c r="F57" s="174"/>
    </row>
    <row r="58" spans="1:6">
      <c r="A58" s="32" t="s">
        <v>922</v>
      </c>
      <c r="B58" s="172" t="s">
        <v>2314</v>
      </c>
      <c r="C58" s="172" t="s">
        <v>28</v>
      </c>
      <c r="D58" s="172"/>
      <c r="E58" s="173"/>
      <c r="F58" s="174"/>
    </row>
    <row r="59" spans="1:6">
      <c r="A59" s="32" t="s">
        <v>815</v>
      </c>
      <c r="B59" s="172" t="s">
        <v>2315</v>
      </c>
      <c r="C59" s="172" t="s">
        <v>28</v>
      </c>
      <c r="D59" s="172"/>
      <c r="E59" s="173"/>
      <c r="F59" s="172"/>
    </row>
    <row r="60" spans="1:6">
      <c r="A60" s="32" t="s">
        <v>2316</v>
      </c>
      <c r="B60" s="172" t="s">
        <v>2317</v>
      </c>
      <c r="C60" s="172" t="s">
        <v>28</v>
      </c>
      <c r="D60" s="172"/>
      <c r="E60" s="173"/>
      <c r="F60" s="174"/>
    </row>
    <row r="61" spans="1:6">
      <c r="A61" s="32" t="s">
        <v>2318</v>
      </c>
      <c r="B61" s="172" t="s">
        <v>2319</v>
      </c>
      <c r="C61" s="172" t="s">
        <v>28</v>
      </c>
      <c r="D61" s="172"/>
      <c r="E61" s="173"/>
      <c r="F61" s="174"/>
    </row>
    <row r="62" spans="1:6" ht="30">
      <c r="A62" s="169" t="s">
        <v>2320</v>
      </c>
      <c r="B62" s="172" t="s">
        <v>2321</v>
      </c>
      <c r="C62" s="172" t="s">
        <v>29</v>
      </c>
    </row>
    <row r="63" spans="1:6" ht="45">
      <c r="A63" s="180" t="s">
        <v>2343</v>
      </c>
      <c r="B63" s="172" t="s">
        <v>2344</v>
      </c>
      <c r="C63" s="172" t="s">
        <v>2345</v>
      </c>
    </row>
  </sheetData>
  <hyperlinks>
    <hyperlink ref="A15" r:id="rId1" display="https://finance.yahoo.com/quote/UIQ4.DE/" xr:uid="{44A3FEF1-086C-8C4A-A622-011B1594EEC0}"/>
    <hyperlink ref="A32" r:id="rId2" display="https://finance.yahoo.com/quote/0P0001022J/" xr:uid="{BEE10062-7107-C247-9E08-A7EB49C62335}"/>
    <hyperlink ref="A33" r:id="rId3" tooltip="PST.MI" display="https://it.finance.yahoo.com/quote/PST.MI/" xr:uid="{8C7531CB-166C-1941-8806-F07EA42E738A}"/>
    <hyperlink ref="A34" r:id="rId4" tooltip="PRY.MI" display="https://it.finance.yahoo.com/quote/PRY.MI/" xr:uid="{37CB9554-B30B-C84C-B82B-EAC4F0EB0DD1}"/>
    <hyperlink ref="A35" r:id="rId5" tooltip="BPE.MI" display="https://it.finance.yahoo.com/quote/BPE.MI/" xr:uid="{F2E743D9-065E-4D4D-B36D-90AEAD687FA7}"/>
    <hyperlink ref="A36" r:id="rId6" tooltip="SPM.MI" display="https://it.finance.yahoo.com/quote/SPM.MI/" xr:uid="{52C1888B-9335-2F41-A79A-097528724AAB}"/>
    <hyperlink ref="A37" r:id="rId7" tooltip="SRG.MI" display="https://it.finance.yahoo.com/quote/SRG.MI/" xr:uid="{AB926BE9-0988-4D4F-8AD8-F3AB17239F8B}"/>
    <hyperlink ref="A38" r:id="rId8" tooltip="TRN.MI" display="https://it.finance.yahoo.com/quote/TRN.MI/" xr:uid="{682F2829-55FA-0040-B2C9-5BD8843CED66}"/>
    <hyperlink ref="A39" r:id="rId9" tooltip="BAMI.MI" display="https://it.finance.yahoo.com/quote/BAMI.MI/" xr:uid="{8DDCF75A-A2B7-454F-B0C4-9243A518CE71}"/>
    <hyperlink ref="A40" r:id="rId10" tooltip="MONC.MI" display="https://it.finance.yahoo.com/quote/MONC.MI/" xr:uid="{A54FD84B-3649-AF42-B55F-D9528AD7C833}"/>
    <hyperlink ref="A41" r:id="rId11" tooltip="UNI.MI" display="https://it.finance.yahoo.com/quote/UNI.MI/" xr:uid="{E1D55341-7B5D-9C4B-AB40-B25435B27A0E}"/>
    <hyperlink ref="A42" r:id="rId12" tooltip="STLAM.MI" display="https://it.finance.yahoo.com/quote/STLAM.MI/" xr:uid="{1AA71B94-2181-5447-A5C3-1871DF906CDE}"/>
    <hyperlink ref="A43" r:id="rId13" tooltip="BC.MI" display="https://it.finance.yahoo.com/quote/BC.MI/" xr:uid="{0476A77B-353E-2241-8E45-6D9E77DDFBC8}"/>
    <hyperlink ref="A44" r:id="rId14" tooltip="AMP.MI" display="https://it.finance.yahoo.com/quote/AMP.MI/" xr:uid="{8095B8CB-AB81-B346-8B5C-F575FB59DFCE}"/>
    <hyperlink ref="A45" r:id="rId15" tooltip="RACE.MI" display="https://it.finance.yahoo.com/quote/RACE.MI/" xr:uid="{DE0743E3-6857-7F47-AD3E-170010DCE089}"/>
    <hyperlink ref="A46" r:id="rId16" tooltip="ENI.MI" display="https://it.finance.yahoo.com/quote/ENI.MI/" xr:uid="{1CDE003D-109E-194A-8F53-CF5359B7A7EC}"/>
    <hyperlink ref="A47" r:id="rId17" tooltip="DIA.MI" display="https://it.finance.yahoo.com/quote/DIA.MI/" xr:uid="{4B46F143-78E6-444F-8ED6-30C369586702}"/>
    <hyperlink ref="A48" r:id="rId18" tooltip="REC.MI" display="https://it.finance.yahoo.com/quote/REC.MI/" xr:uid="{8BE06436-96C7-644C-A9C1-73F1F0DC311C}"/>
    <hyperlink ref="A49" r:id="rId19" tooltip="BZU.MI" display="https://it.finance.yahoo.com/quote/BZU.MI/" xr:uid="{95EBB0BF-C3C4-2241-90D6-4722C54FB07C}"/>
    <hyperlink ref="A50" r:id="rId20" tooltip="G.MI" display="https://it.finance.yahoo.com/quote/G.MI/" xr:uid="{599026ED-7337-2B48-A8EC-8E93C5F608F9}"/>
    <hyperlink ref="A51" r:id="rId21" tooltip="TEN.MI" display="https://it.finance.yahoo.com/quote/TEN.MI/" xr:uid="{A98F9519-DE1D-0F42-8E72-CBBEDE5A4E77}"/>
    <hyperlink ref="A52" r:id="rId22" tooltip="CPR.MI" display="https://it.finance.yahoo.com/quote/CPR.MI/" xr:uid="{FC68F219-5B43-094A-B8E4-F14605B77776}"/>
    <hyperlink ref="A53" r:id="rId23" tooltip="MB.MI" display="https://it.finance.yahoo.com/quote/MB.MI/" xr:uid="{FBDD4D33-4C43-FA4B-B9DC-E5502D71D684}"/>
    <hyperlink ref="A54" r:id="rId24" tooltip="LTMC.MI" display="https://it.finance.yahoo.com/quote/LTMC.MI/" xr:uid="{3273EF33-29C1-1047-9D6E-52D7DEB41FF6}"/>
    <hyperlink ref="A55" r:id="rId25" tooltip="ISP.MI" display="https://it.finance.yahoo.com/quote/ISP.MI/" xr:uid="{435F95E8-0B9A-894F-BD6B-A07D55947958}"/>
    <hyperlink ref="A56" r:id="rId26" tooltip="IG.MI" display="https://it.finance.yahoo.com/quote/IG.MI/" xr:uid="{EC9FA40D-A2B9-8B43-8BD4-EDE370F53B85}"/>
    <hyperlink ref="A57" r:id="rId27" tooltip="BMED.MI" display="https://it.finance.yahoo.com/quote/BMED.MI/" xr:uid="{9F3D3690-517A-6449-BCAB-692437F5FCEE}"/>
    <hyperlink ref="A58" r:id="rId28" tooltip="LDO.MI" display="https://it.finance.yahoo.com/quote/LDO.MI/" xr:uid="{62B09167-700F-4B4D-9C8B-DDD23E5BBCB1}"/>
    <hyperlink ref="A59" r:id="rId29" tooltip="TIT.MI" display="https://it.finance.yahoo.com/quote/TIT.MI/" xr:uid="{5D17BA83-9D21-954C-B348-FABDF2A00B63}"/>
    <hyperlink ref="A60" r:id="rId30" tooltip="AZM.MI" display="https://it.finance.yahoo.com/quote/AZM.MI/" xr:uid="{7ABD7A25-0DEA-5541-96BB-C2D51296C957}"/>
    <hyperlink ref="A61" r:id="rId31" tooltip="FBK.MI" display="https://it.finance.yahoo.com/quote/FBK.MI/" xr:uid="{E813D51C-4452-7748-BBA0-80B97782EEC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6173-C451-624E-9E00-9807DBE87490}">
  <dimension ref="A1:E14"/>
  <sheetViews>
    <sheetView zoomScale="63" workbookViewId="0">
      <selection activeCell="E13" sqref="E13"/>
    </sheetView>
  </sheetViews>
  <sheetFormatPr baseColWidth="10" defaultRowHeight="15"/>
  <sheetData>
    <row r="1" spans="1:5" ht="24">
      <c r="A1" s="170" t="s">
        <v>1102</v>
      </c>
      <c r="B1" s="164" t="s">
        <v>2246</v>
      </c>
      <c r="C1" s="164" t="s">
        <v>28</v>
      </c>
      <c r="D1">
        <v>25000</v>
      </c>
      <c r="E1" s="37">
        <f>D1/$D$14</f>
        <v>0.21008403361344538</v>
      </c>
    </row>
    <row r="2" spans="1:5" ht="18">
      <c r="A2" s="164" t="s">
        <v>2247</v>
      </c>
      <c r="B2" s="164" t="s">
        <v>2248</v>
      </c>
      <c r="C2" s="164" t="s">
        <v>28</v>
      </c>
      <c r="D2" s="171">
        <v>15000</v>
      </c>
      <c r="E2" s="37">
        <f t="shared" ref="E2:E13" si="0">D2/$D$14</f>
        <v>0.12605042016806722</v>
      </c>
    </row>
    <row r="3" spans="1:5" ht="30">
      <c r="A3" s="169" t="s">
        <v>2249</v>
      </c>
      <c r="B3" s="164" t="s">
        <v>2250</v>
      </c>
      <c r="C3" s="164" t="s">
        <v>28</v>
      </c>
      <c r="D3" s="171">
        <v>8000</v>
      </c>
      <c r="E3" s="37">
        <f t="shared" si="0"/>
        <v>6.7226890756302518E-2</v>
      </c>
    </row>
    <row r="4" spans="1:5" ht="30">
      <c r="A4" s="169" t="s">
        <v>2251</v>
      </c>
      <c r="B4" s="164" t="s">
        <v>2252</v>
      </c>
      <c r="C4" s="164" t="s">
        <v>28</v>
      </c>
      <c r="D4" s="171">
        <v>8000</v>
      </c>
      <c r="E4" s="37">
        <f t="shared" si="0"/>
        <v>6.7226890756302518E-2</v>
      </c>
    </row>
    <row r="5" spans="1:5" ht="24">
      <c r="A5" s="170" t="s">
        <v>2265</v>
      </c>
      <c r="B5" s="164" t="s">
        <v>1980</v>
      </c>
      <c r="C5" s="164" t="s">
        <v>28</v>
      </c>
      <c r="D5" s="171">
        <v>8000</v>
      </c>
      <c r="E5" s="37">
        <f t="shared" si="0"/>
        <v>6.7226890756302518E-2</v>
      </c>
    </row>
    <row r="6" spans="1:5" ht="24">
      <c r="A6" s="170" t="s">
        <v>2266</v>
      </c>
      <c r="B6" s="164" t="s">
        <v>1965</v>
      </c>
      <c r="C6" s="164" t="s">
        <v>28</v>
      </c>
      <c r="D6" s="171">
        <v>7000</v>
      </c>
      <c r="E6" s="37">
        <f t="shared" si="0"/>
        <v>5.8823529411764705E-2</v>
      </c>
    </row>
    <row r="7" spans="1:5" ht="18">
      <c r="A7" s="19" t="s">
        <v>2253</v>
      </c>
      <c r="B7" s="164" t="s">
        <v>2254</v>
      </c>
      <c r="C7" s="164" t="s">
        <v>28</v>
      </c>
      <c r="D7" s="171">
        <v>7000</v>
      </c>
      <c r="E7" s="37">
        <f t="shared" si="0"/>
        <v>5.8823529411764705E-2</v>
      </c>
    </row>
    <row r="8" spans="1:5" ht="18">
      <c r="A8" s="32" t="s">
        <v>2255</v>
      </c>
      <c r="B8" s="164" t="s">
        <v>2256</v>
      </c>
      <c r="C8" s="164" t="s">
        <v>28</v>
      </c>
      <c r="D8" s="171">
        <v>7000</v>
      </c>
      <c r="E8" s="37">
        <f t="shared" si="0"/>
        <v>5.8823529411764705E-2</v>
      </c>
    </row>
    <row r="9" spans="1:5" ht="18">
      <c r="A9" s="19" t="s">
        <v>2257</v>
      </c>
      <c r="B9" s="164" t="s">
        <v>1975</v>
      </c>
      <c r="C9" s="164" t="s">
        <v>28</v>
      </c>
      <c r="D9" s="171">
        <v>7000</v>
      </c>
      <c r="E9" s="37">
        <f t="shared" si="0"/>
        <v>5.8823529411764705E-2</v>
      </c>
    </row>
    <row r="10" spans="1:5" ht="18">
      <c r="A10" s="19" t="s">
        <v>1757</v>
      </c>
      <c r="B10" s="164" t="s">
        <v>2258</v>
      </c>
      <c r="C10" s="164" t="s">
        <v>28</v>
      </c>
      <c r="D10" s="171">
        <v>7000</v>
      </c>
      <c r="E10" s="37">
        <f t="shared" si="0"/>
        <v>5.8823529411764705E-2</v>
      </c>
    </row>
    <row r="11" spans="1:5" ht="18">
      <c r="A11" s="19" t="s">
        <v>2259</v>
      </c>
      <c r="B11" s="164" t="s">
        <v>2260</v>
      </c>
      <c r="C11" s="164" t="s">
        <v>28</v>
      </c>
      <c r="D11" s="171">
        <v>7000</v>
      </c>
      <c r="E11" s="37">
        <f t="shared" si="0"/>
        <v>5.8823529411764705E-2</v>
      </c>
    </row>
    <row r="12" spans="1:5" ht="18">
      <c r="A12" s="19" t="s">
        <v>2261</v>
      </c>
      <c r="B12" s="164" t="s">
        <v>1974</v>
      </c>
      <c r="C12" s="164" t="s">
        <v>28</v>
      </c>
      <c r="D12" s="171">
        <v>7000</v>
      </c>
      <c r="E12" s="37">
        <f t="shared" si="0"/>
        <v>5.8823529411764705E-2</v>
      </c>
    </row>
    <row r="13" spans="1:5" ht="24">
      <c r="A13" s="170" t="s">
        <v>2267</v>
      </c>
      <c r="B13" s="164" t="s">
        <v>2262</v>
      </c>
      <c r="C13" s="164" t="s">
        <v>28</v>
      </c>
      <c r="D13" s="171">
        <v>6000</v>
      </c>
      <c r="E13" s="37">
        <f t="shared" si="0"/>
        <v>5.0420168067226892E-2</v>
      </c>
    </row>
    <row r="14" spans="1:5" ht="18">
      <c r="C14" s="164" t="s">
        <v>2264</v>
      </c>
      <c r="D14">
        <f>SUM(D1:D13)</f>
        <v>119000</v>
      </c>
      <c r="E14" s="107">
        <f>SUM(E1:E13)</f>
        <v>1</v>
      </c>
    </row>
  </sheetData>
  <hyperlinks>
    <hyperlink ref="A8" r:id="rId1" display="https://finance.yahoo.com/quote/UIQ4.DE/" xr:uid="{AC96A8EB-D2B7-2842-9EEE-A812CA9D262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E76B-206A-7043-A9E8-264D936D699F}">
  <dimension ref="A1:N39"/>
  <sheetViews>
    <sheetView topLeftCell="A3" workbookViewId="0">
      <selection activeCell="A30" sqref="A30:C36"/>
    </sheetView>
  </sheetViews>
  <sheetFormatPr baseColWidth="10" defaultRowHeight="18"/>
  <cols>
    <col min="1" max="1" width="21.1640625" style="154" bestFit="1" customWidth="1"/>
    <col min="2" max="2" width="60.6640625" style="154" bestFit="1" customWidth="1"/>
    <col min="3" max="7" width="10.83203125" style="154"/>
    <col min="8" max="8" width="22.83203125" style="154" customWidth="1"/>
    <col min="9" max="9" width="18.33203125" style="154" customWidth="1"/>
    <col min="10" max="16384" width="10.83203125" style="154"/>
  </cols>
  <sheetData>
    <row r="1" spans="1:14">
      <c r="A1" s="158" t="s">
        <v>2120</v>
      </c>
      <c r="B1" s="159" t="s">
        <v>2121</v>
      </c>
      <c r="C1" s="154" t="s">
        <v>2122</v>
      </c>
      <c r="F1" s="158"/>
      <c r="G1" s="159"/>
      <c r="L1" s="160"/>
      <c r="M1" s="160"/>
      <c r="N1" s="161"/>
    </row>
    <row r="2" spans="1:14">
      <c r="A2" s="162" t="s">
        <v>60</v>
      </c>
      <c r="B2" s="162" t="s">
        <v>711</v>
      </c>
      <c r="C2" s="162" t="s">
        <v>28</v>
      </c>
      <c r="F2" s="162"/>
      <c r="G2" s="162"/>
      <c r="H2" s="162"/>
      <c r="L2" s="160"/>
      <c r="M2" s="160"/>
      <c r="N2" s="161"/>
    </row>
    <row r="3" spans="1:14">
      <c r="A3" s="162" t="s">
        <v>2</v>
      </c>
      <c r="B3" s="162" t="s">
        <v>2098</v>
      </c>
      <c r="C3" s="162" t="s">
        <v>28</v>
      </c>
      <c r="F3" s="162"/>
      <c r="G3" s="162"/>
      <c r="H3" s="162"/>
      <c r="L3" s="160"/>
      <c r="M3" s="160"/>
      <c r="N3" s="161"/>
    </row>
    <row r="4" spans="1:14">
      <c r="A4" s="154" t="s">
        <v>1146</v>
      </c>
      <c r="B4" s="154" t="s">
        <v>1856</v>
      </c>
      <c r="C4" s="154" t="s">
        <v>28</v>
      </c>
      <c r="K4" s="163"/>
      <c r="L4" s="160"/>
      <c r="M4" s="160"/>
      <c r="N4" s="161"/>
    </row>
    <row r="5" spans="1:14">
      <c r="A5" s="164" t="s">
        <v>1855</v>
      </c>
      <c r="B5" s="164" t="s">
        <v>2101</v>
      </c>
      <c r="C5" s="164" t="s">
        <v>28</v>
      </c>
      <c r="F5" s="164"/>
      <c r="G5" s="164"/>
      <c r="H5" s="164"/>
      <c r="L5" s="160"/>
      <c r="M5" s="160"/>
      <c r="N5" s="161"/>
    </row>
    <row r="6" spans="1:14">
      <c r="A6" s="164" t="s">
        <v>20</v>
      </c>
      <c r="B6" s="164" t="s">
        <v>725</v>
      </c>
      <c r="C6" s="164" t="s">
        <v>28</v>
      </c>
      <c r="F6" s="164"/>
      <c r="G6" s="164"/>
      <c r="H6" s="164"/>
      <c r="L6" s="160"/>
      <c r="M6" s="160"/>
      <c r="N6" s="161"/>
    </row>
    <row r="7" spans="1:14">
      <c r="A7" s="164" t="s">
        <v>19</v>
      </c>
      <c r="B7" s="164" t="s">
        <v>2129</v>
      </c>
      <c r="C7" s="164" t="s">
        <v>28</v>
      </c>
      <c r="F7" s="164"/>
      <c r="G7" s="164"/>
      <c r="H7" s="164"/>
      <c r="L7" s="160"/>
      <c r="M7" s="160"/>
      <c r="N7" s="161"/>
    </row>
    <row r="8" spans="1:14">
      <c r="A8" s="153" t="s">
        <v>2208</v>
      </c>
      <c r="B8" s="154" t="s">
        <v>2207</v>
      </c>
      <c r="C8" s="154" t="s">
        <v>29</v>
      </c>
      <c r="K8" s="163"/>
      <c r="L8" s="160"/>
      <c r="M8" s="160"/>
      <c r="N8" s="161"/>
    </row>
    <row r="9" spans="1:14">
      <c r="A9" s="154" t="s">
        <v>2192</v>
      </c>
      <c r="B9" s="153" t="s">
        <v>2209</v>
      </c>
      <c r="C9" s="154" t="s">
        <v>704</v>
      </c>
      <c r="L9" s="160"/>
      <c r="M9" s="160"/>
      <c r="N9" s="161"/>
    </row>
    <row r="10" spans="1:14">
      <c r="A10" s="153" t="s">
        <v>878</v>
      </c>
      <c r="B10" s="153" t="s">
        <v>2210</v>
      </c>
      <c r="C10" s="154" t="s">
        <v>29</v>
      </c>
      <c r="L10" s="160"/>
      <c r="M10" s="160"/>
      <c r="N10" s="161"/>
    </row>
    <row r="11" spans="1:14">
      <c r="A11" s="154" t="s">
        <v>2188</v>
      </c>
      <c r="B11" s="153" t="s">
        <v>2211</v>
      </c>
      <c r="C11" s="154" t="s">
        <v>28</v>
      </c>
      <c r="K11" s="163"/>
      <c r="L11" s="160"/>
      <c r="M11" s="160"/>
      <c r="N11" s="161"/>
    </row>
    <row r="12" spans="1:14">
      <c r="A12" s="154" t="s">
        <v>2194</v>
      </c>
      <c r="B12" s="153" t="s">
        <v>2212</v>
      </c>
      <c r="C12" s="154" t="s">
        <v>29</v>
      </c>
      <c r="L12" s="160"/>
      <c r="M12" s="160"/>
      <c r="N12" s="161"/>
    </row>
    <row r="13" spans="1:14">
      <c r="A13" s="154" t="s">
        <v>2213</v>
      </c>
      <c r="B13" s="153" t="s">
        <v>2214</v>
      </c>
      <c r="C13" s="154" t="s">
        <v>29</v>
      </c>
      <c r="L13" s="160"/>
      <c r="M13" s="160"/>
      <c r="N13" s="161"/>
    </row>
    <row r="14" spans="1:14">
      <c r="A14" s="154" t="s">
        <v>820</v>
      </c>
      <c r="B14" s="153" t="s">
        <v>1032</v>
      </c>
      <c r="C14" s="154" t="s">
        <v>29</v>
      </c>
      <c r="L14" s="160"/>
      <c r="M14" s="160"/>
      <c r="N14" s="161"/>
    </row>
    <row r="15" spans="1:14">
      <c r="A15" s="154" t="s">
        <v>2215</v>
      </c>
      <c r="B15" s="153" t="s">
        <v>2216</v>
      </c>
      <c r="C15" s="154" t="s">
        <v>28</v>
      </c>
      <c r="L15" s="160"/>
      <c r="M15" s="160"/>
      <c r="N15" s="161"/>
    </row>
    <row r="16" spans="1:14">
      <c r="A16" s="154" t="s">
        <v>2217</v>
      </c>
      <c r="B16" s="153" t="s">
        <v>2218</v>
      </c>
      <c r="C16" s="154" t="s">
        <v>28</v>
      </c>
      <c r="L16" s="160"/>
      <c r="M16" s="160"/>
      <c r="N16" s="161"/>
    </row>
    <row r="17" spans="1:14">
      <c r="A17" s="154" t="s">
        <v>1089</v>
      </c>
      <c r="B17" s="153" t="s">
        <v>2219</v>
      </c>
      <c r="C17" s="154" t="s">
        <v>28</v>
      </c>
      <c r="L17" s="160"/>
      <c r="M17" s="160"/>
      <c r="N17" s="161"/>
    </row>
    <row r="18" spans="1:14">
      <c r="A18" s="154" t="s">
        <v>2220</v>
      </c>
      <c r="B18" s="153" t="s">
        <v>2221</v>
      </c>
      <c r="C18" s="154" t="s">
        <v>29</v>
      </c>
      <c r="L18" s="160"/>
      <c r="M18" s="160"/>
      <c r="N18" s="161"/>
    </row>
    <row r="19" spans="1:14">
      <c r="A19" s="154" t="s">
        <v>2222</v>
      </c>
      <c r="B19" s="153" t="s">
        <v>2223</v>
      </c>
      <c r="C19" s="154" t="s">
        <v>704</v>
      </c>
      <c r="K19" s="163"/>
      <c r="L19" s="160"/>
      <c r="M19" s="160"/>
      <c r="N19" s="161"/>
    </row>
    <row r="20" spans="1:14">
      <c r="A20" s="154" t="s">
        <v>2224</v>
      </c>
      <c r="B20" s="155" t="s">
        <v>2225</v>
      </c>
      <c r="C20" s="154" t="s">
        <v>29</v>
      </c>
      <c r="K20" s="163"/>
      <c r="L20" s="160"/>
      <c r="M20" s="160"/>
      <c r="N20" s="161"/>
    </row>
    <row r="21" spans="1:14">
      <c r="A21" s="154" t="s">
        <v>752</v>
      </c>
      <c r="B21" s="154" t="s">
        <v>1145</v>
      </c>
      <c r="C21" s="154" t="s">
        <v>29</v>
      </c>
      <c r="L21" s="160"/>
      <c r="M21" s="160"/>
      <c r="N21" s="161"/>
    </row>
    <row r="22" spans="1:14">
      <c r="A22" s="154" t="s">
        <v>2198</v>
      </c>
      <c r="B22" s="155" t="s">
        <v>2226</v>
      </c>
      <c r="C22" s="154" t="s">
        <v>29</v>
      </c>
      <c r="L22" s="160"/>
      <c r="M22" s="160"/>
      <c r="N22" s="161"/>
    </row>
    <row r="23" spans="1:14">
      <c r="A23" s="154" t="s">
        <v>2227</v>
      </c>
      <c r="B23" s="155" t="s">
        <v>2228</v>
      </c>
      <c r="C23" s="154" t="s">
        <v>29</v>
      </c>
      <c r="M23" s="160"/>
      <c r="N23" s="165"/>
    </row>
    <row r="24" spans="1:14">
      <c r="A24" s="154" t="s">
        <v>2229</v>
      </c>
      <c r="B24" s="153" t="s">
        <v>2230</v>
      </c>
      <c r="C24" s="154" t="s">
        <v>29</v>
      </c>
    </row>
    <row r="25" spans="1:14">
      <c r="A25" s="154" t="s">
        <v>2196</v>
      </c>
      <c r="B25" s="153" t="s">
        <v>838</v>
      </c>
      <c r="C25" s="154" t="s">
        <v>29</v>
      </c>
    </row>
    <row r="26" spans="1:14">
      <c r="A26" s="153" t="s">
        <v>2183</v>
      </c>
      <c r="B26" s="153" t="s">
        <v>2234</v>
      </c>
      <c r="C26" s="154" t="s">
        <v>29</v>
      </c>
    </row>
    <row r="27" spans="1:14">
      <c r="A27" s="153" t="s">
        <v>2190</v>
      </c>
      <c r="B27" s="156" t="s">
        <v>2191</v>
      </c>
      <c r="C27" s="157" t="s">
        <v>28</v>
      </c>
    </row>
    <row r="28" spans="1:14">
      <c r="A28" s="153" t="s">
        <v>2185</v>
      </c>
      <c r="B28" s="153" t="s">
        <v>2233</v>
      </c>
      <c r="C28" s="157" t="s">
        <v>28</v>
      </c>
    </row>
    <row r="29" spans="1:14">
      <c r="A29" s="154" t="s">
        <v>2231</v>
      </c>
      <c r="B29" s="154" t="s">
        <v>2232</v>
      </c>
      <c r="C29" s="154" t="s">
        <v>28</v>
      </c>
    </row>
    <row r="30" spans="1:14">
      <c r="A30" s="166" t="s">
        <v>2202</v>
      </c>
      <c r="B30" s="167" t="s">
        <v>2203</v>
      </c>
      <c r="C30" s="157" t="s">
        <v>28</v>
      </c>
    </row>
    <row r="31" spans="1:14">
      <c r="A31" s="153" t="s">
        <v>2205</v>
      </c>
      <c r="B31" s="167" t="s">
        <v>2204</v>
      </c>
      <c r="C31" s="157" t="s">
        <v>28</v>
      </c>
    </row>
    <row r="32" spans="1:14">
      <c r="A32" s="153" t="s">
        <v>2206</v>
      </c>
      <c r="B32" s="167" t="s">
        <v>1138</v>
      </c>
      <c r="C32" s="157" t="s">
        <v>28</v>
      </c>
    </row>
    <row r="33" spans="1:3">
      <c r="A33" s="153" t="s">
        <v>2238</v>
      </c>
      <c r="B33" s="168" t="s">
        <v>2239</v>
      </c>
      <c r="C33" s="157" t="s">
        <v>28</v>
      </c>
    </row>
    <row r="34" spans="1:3">
      <c r="A34" s="154" t="s">
        <v>100</v>
      </c>
      <c r="B34" s="154" t="s">
        <v>2235</v>
      </c>
      <c r="C34" s="157" t="s">
        <v>28</v>
      </c>
    </row>
    <row r="35" spans="1:3">
      <c r="A35" s="154" t="s">
        <v>76</v>
      </c>
      <c r="B35" s="154" t="s">
        <v>2236</v>
      </c>
      <c r="C35" s="157" t="s">
        <v>28</v>
      </c>
    </row>
    <row r="36" spans="1:3">
      <c r="A36" s="154" t="s">
        <v>1044</v>
      </c>
      <c r="B36" s="154" t="s">
        <v>2237</v>
      </c>
      <c r="C36" s="157" t="s">
        <v>28</v>
      </c>
    </row>
    <row r="37" spans="1:3">
      <c r="A37" s="32" t="s">
        <v>2240</v>
      </c>
      <c r="B37" s="154" t="s">
        <v>2241</v>
      </c>
      <c r="C37" s="154" t="s">
        <v>29</v>
      </c>
    </row>
    <row r="38" spans="1:3" ht="30">
      <c r="A38" s="169" t="s">
        <v>2242</v>
      </c>
      <c r="B38" s="154" t="s">
        <v>2243</v>
      </c>
      <c r="C38" s="154" t="s">
        <v>28</v>
      </c>
    </row>
    <row r="39" spans="1:3" ht="30">
      <c r="A39" s="169" t="s">
        <v>2244</v>
      </c>
      <c r="B39" s="154" t="s">
        <v>2245</v>
      </c>
      <c r="C39" s="154" t="s">
        <v>28</v>
      </c>
    </row>
  </sheetData>
  <hyperlinks>
    <hyperlink ref="A37" r:id="rId1" display="https://finance.yahoo.com/quote/0P0001022J/" xr:uid="{38D133E2-AB1F-B04D-B5BB-C3DB15C5D622}"/>
  </hyperlink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92BF-F484-F940-AB90-2F8FFF2AD779}">
  <dimension ref="A1"/>
  <sheetViews>
    <sheetView workbookViewId="0"/>
  </sheetViews>
  <sheetFormatPr baseColWidth="10" defaultRowHeight="15"/>
  <sheetData>
    <row r="1" spans="1:1">
      <c r="A1" t="s">
        <v>2263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CAD5-1734-3B4C-9F38-E38702ECAF58}">
  <dimension ref="A1:C77"/>
  <sheetViews>
    <sheetView topLeftCell="A61" workbookViewId="0">
      <selection activeCell="A75" sqref="A75:C77"/>
    </sheetView>
  </sheetViews>
  <sheetFormatPr baseColWidth="10" defaultRowHeight="15"/>
  <cols>
    <col min="1" max="1" width="21" customWidth="1"/>
    <col min="2" max="2" width="74.1640625" customWidth="1"/>
  </cols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8" t="s">
        <v>28</v>
      </c>
    </row>
    <row r="3" spans="1:3" ht="18">
      <c r="A3" s="118" t="s">
        <v>2</v>
      </c>
      <c r="B3" s="118" t="s">
        <v>2098</v>
      </c>
      <c r="C3" s="118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20</v>
      </c>
      <c r="B7" s="119" t="s">
        <v>725</v>
      </c>
      <c r="C7" s="119" t="s">
        <v>28</v>
      </c>
    </row>
    <row r="8" spans="1:3" ht="18">
      <c r="A8" s="119" t="s">
        <v>19</v>
      </c>
      <c r="B8" s="119" t="s">
        <v>2129</v>
      </c>
      <c r="C8" s="119" t="s">
        <v>28</v>
      </c>
    </row>
    <row r="9" spans="1:3" ht="18">
      <c r="A9" s="120" t="s">
        <v>748</v>
      </c>
      <c r="B9" s="120" t="s">
        <v>749</v>
      </c>
      <c r="C9" s="120" t="s">
        <v>29</v>
      </c>
    </row>
    <row r="10" spans="1:3" ht="18">
      <c r="A10" s="120" t="s">
        <v>750</v>
      </c>
      <c r="B10" s="120" t="s">
        <v>751</v>
      </c>
      <c r="C10" s="120" t="s">
        <v>29</v>
      </c>
    </row>
    <row r="11" spans="1:3" ht="18">
      <c r="A11" s="120" t="s">
        <v>752</v>
      </c>
      <c r="B11" s="120" t="s">
        <v>753</v>
      </c>
      <c r="C11" s="120" t="s">
        <v>29</v>
      </c>
    </row>
    <row r="12" spans="1:3" ht="18">
      <c r="A12" s="120" t="s">
        <v>754</v>
      </c>
      <c r="B12" s="120" t="s">
        <v>755</v>
      </c>
      <c r="C12" s="120" t="s">
        <v>29</v>
      </c>
    </row>
    <row r="13" spans="1:3" ht="18">
      <c r="A13" s="121" t="s">
        <v>756</v>
      </c>
      <c r="B13" s="122" t="s">
        <v>757</v>
      </c>
      <c r="C13" s="121" t="s">
        <v>29</v>
      </c>
    </row>
    <row r="14" spans="1:3" ht="18">
      <c r="A14" s="121" t="s">
        <v>758</v>
      </c>
      <c r="B14" s="122" t="s">
        <v>759</v>
      </c>
      <c r="C14" s="121" t="s">
        <v>29</v>
      </c>
    </row>
    <row r="15" spans="1:3" ht="18">
      <c r="A15" s="121" t="s">
        <v>760</v>
      </c>
      <c r="B15" s="121" t="s">
        <v>761</v>
      </c>
      <c r="C15" s="121" t="s">
        <v>29</v>
      </c>
    </row>
    <row r="16" spans="1:3" ht="18">
      <c r="A16" s="121" t="s">
        <v>762</v>
      </c>
      <c r="B16" s="122" t="s">
        <v>763</v>
      </c>
      <c r="C16" s="121" t="s">
        <v>29</v>
      </c>
    </row>
    <row r="17" spans="1:3" ht="18">
      <c r="A17" s="121" t="s">
        <v>764</v>
      </c>
      <c r="B17" s="121" t="s">
        <v>765</v>
      </c>
      <c r="C17" s="121" t="s">
        <v>29</v>
      </c>
    </row>
    <row r="18" spans="1:3" ht="18">
      <c r="A18" s="121" t="s">
        <v>766</v>
      </c>
      <c r="B18" s="121" t="s">
        <v>767</v>
      </c>
      <c r="C18" s="121" t="s">
        <v>29</v>
      </c>
    </row>
    <row r="19" spans="1:3" ht="18">
      <c r="A19" s="121" t="s">
        <v>768</v>
      </c>
      <c r="B19" s="121" t="s">
        <v>769</v>
      </c>
      <c r="C19" s="121" t="s">
        <v>29</v>
      </c>
    </row>
    <row r="20" spans="1:3" ht="18">
      <c r="A20" s="121" t="s">
        <v>770</v>
      </c>
      <c r="B20" s="121" t="s">
        <v>771</v>
      </c>
      <c r="C20" s="121" t="s">
        <v>29</v>
      </c>
    </row>
    <row r="21" spans="1:3" ht="18">
      <c r="A21" s="121" t="s">
        <v>772</v>
      </c>
      <c r="B21" s="121" t="s">
        <v>773</v>
      </c>
      <c r="C21" s="121" t="s">
        <v>29</v>
      </c>
    </row>
    <row r="22" spans="1:3" ht="18">
      <c r="A22" s="121" t="s">
        <v>774</v>
      </c>
      <c r="B22" s="122" t="s">
        <v>775</v>
      </c>
      <c r="C22" s="121" t="s">
        <v>29</v>
      </c>
    </row>
    <row r="23" spans="1:3" ht="18">
      <c r="A23" s="121" t="s">
        <v>776</v>
      </c>
      <c r="B23" s="122" t="s">
        <v>777</v>
      </c>
      <c r="C23" s="121" t="s">
        <v>29</v>
      </c>
    </row>
    <row r="24" spans="1:3" ht="18">
      <c r="A24" s="121" t="s">
        <v>778</v>
      </c>
      <c r="B24" s="122" t="s">
        <v>779</v>
      </c>
      <c r="C24" s="121" t="s">
        <v>29</v>
      </c>
    </row>
    <row r="25" spans="1:3" ht="18">
      <c r="A25" s="122" t="s">
        <v>780</v>
      </c>
      <c r="B25" s="122" t="s">
        <v>781</v>
      </c>
      <c r="C25" s="121" t="s">
        <v>29</v>
      </c>
    </row>
    <row r="26" spans="1:3" ht="18">
      <c r="A26" s="122" t="s">
        <v>1101</v>
      </c>
      <c r="B26" s="122" t="s">
        <v>782</v>
      </c>
      <c r="C26" s="121" t="s">
        <v>28</v>
      </c>
    </row>
    <row r="27" spans="1:3" ht="18">
      <c r="A27" s="124" t="s">
        <v>5</v>
      </c>
      <c r="B27" s="124" t="s">
        <v>36</v>
      </c>
      <c r="C27" s="125" t="s">
        <v>28</v>
      </c>
    </row>
    <row r="28" spans="1:3" ht="18">
      <c r="A28" s="126" t="s">
        <v>6</v>
      </c>
      <c r="B28" s="126" t="s">
        <v>37</v>
      </c>
      <c r="C28" s="127" t="s">
        <v>28</v>
      </c>
    </row>
    <row r="29" spans="1:3" ht="18">
      <c r="A29" s="126" t="s">
        <v>7</v>
      </c>
      <c r="B29" s="126" t="s">
        <v>38</v>
      </c>
      <c r="C29" s="127" t="s">
        <v>28</v>
      </c>
    </row>
    <row r="30" spans="1:3" ht="18">
      <c r="A30" s="126" t="s">
        <v>8</v>
      </c>
      <c r="B30" s="126" t="s">
        <v>39</v>
      </c>
      <c r="C30" s="127" t="s">
        <v>28</v>
      </c>
    </row>
    <row r="31" spans="1:3" ht="18">
      <c r="A31" s="126" t="s">
        <v>9</v>
      </c>
      <c r="B31" s="126" t="s">
        <v>40</v>
      </c>
      <c r="C31" s="127" t="s">
        <v>28</v>
      </c>
    </row>
    <row r="32" spans="1:3" ht="18">
      <c r="A32" s="126" t="s">
        <v>10</v>
      </c>
      <c r="B32" s="126" t="s">
        <v>41</v>
      </c>
      <c r="C32" s="127" t="s">
        <v>28</v>
      </c>
    </row>
    <row r="33" spans="1:3" ht="18">
      <c r="A33" s="126" t="s">
        <v>11</v>
      </c>
      <c r="B33" s="126" t="s">
        <v>42</v>
      </c>
      <c r="C33" s="127" t="s">
        <v>28</v>
      </c>
    </row>
    <row r="34" spans="1:3" ht="18">
      <c r="A34" s="126" t="s">
        <v>12</v>
      </c>
      <c r="B34" s="126" t="s">
        <v>43</v>
      </c>
      <c r="C34" s="127" t="s">
        <v>28</v>
      </c>
    </row>
    <row r="35" spans="1:3" ht="18">
      <c r="A35" s="126" t="s">
        <v>13</v>
      </c>
      <c r="B35" s="126" t="s">
        <v>44</v>
      </c>
      <c r="C35" s="127" t="s">
        <v>28</v>
      </c>
    </row>
    <row r="36" spans="1:3" ht="18">
      <c r="A36" s="126" t="s">
        <v>14</v>
      </c>
      <c r="B36" s="126" t="s">
        <v>45</v>
      </c>
      <c r="C36" s="127" t="s">
        <v>28</v>
      </c>
    </row>
    <row r="37" spans="1:3" ht="18">
      <c r="A37" s="128" t="s">
        <v>792</v>
      </c>
      <c r="B37" s="123" t="s">
        <v>793</v>
      </c>
      <c r="C37" s="129" t="s">
        <v>28</v>
      </c>
    </row>
    <row r="38" spans="1:3" ht="18">
      <c r="A38" s="120" t="s">
        <v>785</v>
      </c>
      <c r="B38" s="120" t="s">
        <v>786</v>
      </c>
      <c r="C38" s="120" t="s">
        <v>29</v>
      </c>
    </row>
    <row r="39" spans="1:3" ht="18">
      <c r="A39" s="121" t="s">
        <v>787</v>
      </c>
      <c r="B39" s="120" t="s">
        <v>788</v>
      </c>
      <c r="C39" s="120" t="s">
        <v>29</v>
      </c>
    </row>
    <row r="40" spans="1:3" ht="18">
      <c r="A40" s="121" t="s">
        <v>789</v>
      </c>
      <c r="B40" s="122" t="s">
        <v>790</v>
      </c>
      <c r="C40" s="121" t="s">
        <v>29</v>
      </c>
    </row>
    <row r="41" spans="1:3" ht="18">
      <c r="A41" s="118" t="s">
        <v>1091</v>
      </c>
      <c r="B41" s="118" t="s">
        <v>1147</v>
      </c>
      <c r="C41" s="117" t="s">
        <v>28</v>
      </c>
    </row>
    <row r="42" spans="1:3" ht="18">
      <c r="A42" s="118" t="s">
        <v>1821</v>
      </c>
      <c r="B42" s="122" t="s">
        <v>2160</v>
      </c>
      <c r="C42" s="117" t="s">
        <v>28</v>
      </c>
    </row>
    <row r="43" spans="1:3" ht="18">
      <c r="A43" s="118" t="s">
        <v>836</v>
      </c>
      <c r="B43" s="118" t="s">
        <v>2161</v>
      </c>
      <c r="C43" s="118" t="s">
        <v>28</v>
      </c>
    </row>
    <row r="44" spans="1:3" ht="18">
      <c r="A44" s="118" t="s">
        <v>932</v>
      </c>
      <c r="B44" s="118" t="s">
        <v>2162</v>
      </c>
      <c r="C44" s="118" t="s">
        <v>29</v>
      </c>
    </row>
    <row r="45" spans="1:3" ht="18">
      <c r="A45" s="118" t="s">
        <v>934</v>
      </c>
      <c r="B45" s="117" t="s">
        <v>2163</v>
      </c>
      <c r="C45" s="117" t="s">
        <v>29</v>
      </c>
    </row>
    <row r="46" spans="1:3" ht="18">
      <c r="A46" s="118" t="s">
        <v>936</v>
      </c>
      <c r="B46" s="118" t="s">
        <v>1104</v>
      </c>
      <c r="C46" s="118" t="s">
        <v>29</v>
      </c>
    </row>
    <row r="47" spans="1:3" ht="18">
      <c r="A47" s="117" t="s">
        <v>833</v>
      </c>
      <c r="B47" s="118" t="s">
        <v>2164</v>
      </c>
      <c r="C47" s="117" t="s">
        <v>29</v>
      </c>
    </row>
    <row r="48" spans="1:3" ht="18">
      <c r="A48" s="135" t="s">
        <v>712</v>
      </c>
      <c r="B48" s="136" t="s">
        <v>713</v>
      </c>
      <c r="C48" s="117" t="s">
        <v>29</v>
      </c>
    </row>
    <row r="49" spans="1:3" ht="18">
      <c r="A49" s="130" t="s">
        <v>731</v>
      </c>
      <c r="B49" s="131" t="s">
        <v>732</v>
      </c>
      <c r="C49" s="117" t="s">
        <v>29</v>
      </c>
    </row>
    <row r="50" spans="1:3" ht="18">
      <c r="A50" s="130" t="s">
        <v>733</v>
      </c>
      <c r="B50" s="123" t="s">
        <v>734</v>
      </c>
      <c r="C50" s="117" t="s">
        <v>29</v>
      </c>
    </row>
    <row r="51" spans="1:3" ht="18">
      <c r="A51" s="130" t="s">
        <v>735</v>
      </c>
      <c r="B51" s="122" t="s">
        <v>736</v>
      </c>
      <c r="C51" s="117" t="s">
        <v>29</v>
      </c>
    </row>
    <row r="52" spans="1:3" ht="18">
      <c r="A52" s="130" t="s">
        <v>737</v>
      </c>
      <c r="B52" s="131" t="s">
        <v>738</v>
      </c>
      <c r="C52" s="117" t="s">
        <v>29</v>
      </c>
    </row>
    <row r="53" spans="1:3" ht="18">
      <c r="A53" s="130" t="s">
        <v>739</v>
      </c>
      <c r="B53" s="131" t="s">
        <v>740</v>
      </c>
      <c r="C53" s="117" t="s">
        <v>29</v>
      </c>
    </row>
    <row r="54" spans="1:3" ht="18">
      <c r="A54" s="130" t="s">
        <v>741</v>
      </c>
      <c r="B54" s="131" t="s">
        <v>742</v>
      </c>
      <c r="C54" s="117" t="s">
        <v>29</v>
      </c>
    </row>
    <row r="55" spans="1:3" s="42" customFormat="1" ht="21">
      <c r="A55" s="41" t="s">
        <v>2165</v>
      </c>
      <c r="B55" s="137" t="s">
        <v>2166</v>
      </c>
      <c r="C55" s="41" t="s">
        <v>28</v>
      </c>
    </row>
    <row r="56" spans="1:3" s="42" customFormat="1" ht="21">
      <c r="A56" s="41" t="s">
        <v>2167</v>
      </c>
      <c r="B56" s="137" t="s">
        <v>2168</v>
      </c>
      <c r="C56" s="41" t="s">
        <v>28</v>
      </c>
    </row>
    <row r="57" spans="1:3" s="42" customFormat="1" ht="21">
      <c r="A57" s="41" t="s">
        <v>2169</v>
      </c>
      <c r="B57" s="138" t="s">
        <v>2170</v>
      </c>
      <c r="C57" s="41" t="s">
        <v>28</v>
      </c>
    </row>
    <row r="58" spans="1:3" s="42" customFormat="1" ht="23">
      <c r="A58" s="41" t="s">
        <v>2171</v>
      </c>
      <c r="B58" s="18" t="s">
        <v>2172</v>
      </c>
      <c r="C58" s="41" t="s">
        <v>28</v>
      </c>
    </row>
    <row r="59" spans="1:3" s="42" customFormat="1" ht="21">
      <c r="A59" s="41" t="s">
        <v>2173</v>
      </c>
      <c r="B59" s="138" t="s">
        <v>2174</v>
      </c>
      <c r="C59" s="41" t="s">
        <v>28</v>
      </c>
    </row>
    <row r="60" spans="1:3" s="42" customFormat="1" ht="30">
      <c r="A60" s="41" t="s">
        <v>1748</v>
      </c>
      <c r="B60" s="108" t="s">
        <v>2175</v>
      </c>
      <c r="C60" s="41" t="s">
        <v>29</v>
      </c>
    </row>
    <row r="61" spans="1:3" s="42" customFormat="1" ht="30">
      <c r="A61" s="41" t="s">
        <v>2177</v>
      </c>
      <c r="B61" s="108" t="s">
        <v>2176</v>
      </c>
      <c r="C61" s="41" t="s">
        <v>28</v>
      </c>
    </row>
    <row r="62" spans="1:3" ht="30">
      <c r="A62" s="108" t="s">
        <v>2179</v>
      </c>
      <c r="B62" s="108" t="s">
        <v>2178</v>
      </c>
      <c r="C62" s="41" t="s">
        <v>28</v>
      </c>
    </row>
    <row r="63" spans="1:3" ht="30">
      <c r="A63" t="s">
        <v>2181</v>
      </c>
      <c r="B63" s="140" t="s">
        <v>2180</v>
      </c>
      <c r="C63" s="41" t="s">
        <v>28</v>
      </c>
    </row>
    <row r="64" spans="1:3" ht="30">
      <c r="A64" s="139" t="s">
        <v>783</v>
      </c>
      <c r="B64" s="140" t="s">
        <v>2182</v>
      </c>
      <c r="C64" s="139" t="s">
        <v>29</v>
      </c>
    </row>
    <row r="65" spans="1:3">
      <c r="A65" s="141" t="s">
        <v>2183</v>
      </c>
      <c r="B65" s="142" t="s">
        <v>2184</v>
      </c>
      <c r="C65" s="143" t="s">
        <v>29</v>
      </c>
    </row>
    <row r="66" spans="1:3">
      <c r="A66" s="141" t="s">
        <v>2185</v>
      </c>
      <c r="B66" s="142" t="s">
        <v>2186</v>
      </c>
      <c r="C66" s="143" t="s">
        <v>29</v>
      </c>
    </row>
    <row r="67" spans="1:3">
      <c r="A67" s="151" t="s">
        <v>2105</v>
      </c>
      <c r="B67" s="144" t="s">
        <v>2187</v>
      </c>
      <c r="C67" s="152" t="s">
        <v>704</v>
      </c>
    </row>
    <row r="68" spans="1:3">
      <c r="A68" s="141" t="s">
        <v>2188</v>
      </c>
      <c r="B68" s="145" t="s">
        <v>2189</v>
      </c>
      <c r="C68" s="143" t="s">
        <v>28</v>
      </c>
    </row>
    <row r="69" spans="1:3">
      <c r="A69" s="141" t="s">
        <v>2190</v>
      </c>
      <c r="B69" s="146" t="s">
        <v>2191</v>
      </c>
      <c r="C69" s="143" t="s">
        <v>28</v>
      </c>
    </row>
    <row r="70" spans="1:3">
      <c r="A70" s="141" t="s">
        <v>2192</v>
      </c>
      <c r="B70" s="147" t="s">
        <v>2193</v>
      </c>
      <c r="C70" s="148" t="s">
        <v>704</v>
      </c>
    </row>
    <row r="71" spans="1:3">
      <c r="A71" s="141" t="s">
        <v>2194</v>
      </c>
      <c r="B71" s="142" t="s">
        <v>2195</v>
      </c>
      <c r="C71" s="143" t="s">
        <v>29</v>
      </c>
    </row>
    <row r="72" spans="1:3">
      <c r="A72" s="151" t="s">
        <v>2196</v>
      </c>
      <c r="B72" s="142" t="s">
        <v>2197</v>
      </c>
      <c r="C72" s="143" t="s">
        <v>28</v>
      </c>
    </row>
    <row r="73" spans="1:3">
      <c r="A73" s="141" t="s">
        <v>2198</v>
      </c>
      <c r="B73" s="149" t="s">
        <v>2199</v>
      </c>
      <c r="C73" s="143" t="s">
        <v>29</v>
      </c>
    </row>
    <row r="74" spans="1:3">
      <c r="A74" s="141" t="s">
        <v>2200</v>
      </c>
      <c r="B74" s="142" t="s">
        <v>2201</v>
      </c>
      <c r="C74" s="143" t="s">
        <v>29</v>
      </c>
    </row>
    <row r="75" spans="1:3">
      <c r="A75" s="151" t="s">
        <v>2202</v>
      </c>
      <c r="B75" s="150" t="s">
        <v>2203</v>
      </c>
      <c r="C75" s="143" t="s">
        <v>28</v>
      </c>
    </row>
    <row r="76" spans="1:3">
      <c r="A76" s="141" t="s">
        <v>2205</v>
      </c>
      <c r="B76" s="150" t="s">
        <v>2204</v>
      </c>
      <c r="C76" s="143" t="s">
        <v>28</v>
      </c>
    </row>
    <row r="77" spans="1:3">
      <c r="A77" s="141" t="s">
        <v>2206</v>
      </c>
      <c r="B77" s="150" t="s">
        <v>1138</v>
      </c>
      <c r="C77" s="143" t="s">
        <v>28</v>
      </c>
    </row>
  </sheetData>
  <autoFilter ref="A1:C64" xr:uid="{3F79CAD5-1734-3B4C-9F38-E38702ECAF58}"/>
  <hyperlinks>
    <hyperlink ref="B48" r:id="rId1" display="https://www.lazyportfolioetf.com/etf/vanguard-total-stock-market-vti/" xr:uid="{C39EAEAE-FF11-3F4E-A66D-7F29128BD747}"/>
    <hyperlink ref="A48" r:id="rId2" display="https://www.lazyportfolioetf.com/etf/vanguard-total-stock-market-vti/" xr:uid="{7F859B85-F013-8740-8A05-1854933A675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79D1-AD92-7B4E-98BC-33F08B7E104D}">
  <dimension ref="A1:C10"/>
  <sheetViews>
    <sheetView workbookViewId="0">
      <selection sqref="A1:XFD10"/>
    </sheetView>
  </sheetViews>
  <sheetFormatPr baseColWidth="10" defaultRowHeight="15"/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8" t="s">
        <v>28</v>
      </c>
    </row>
    <row r="3" spans="1:3" ht="18">
      <c r="A3" s="118" t="s">
        <v>2</v>
      </c>
      <c r="B3" s="118" t="s">
        <v>2098</v>
      </c>
      <c r="C3" s="118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20</v>
      </c>
      <c r="B7" s="119" t="s">
        <v>725</v>
      </c>
      <c r="C7" s="119" t="s">
        <v>28</v>
      </c>
    </row>
    <row r="8" spans="1:3" ht="18">
      <c r="A8" s="119" t="s">
        <v>19</v>
      </c>
      <c r="B8" s="119" t="s">
        <v>2129</v>
      </c>
      <c r="C8" s="119" t="s">
        <v>28</v>
      </c>
    </row>
    <row r="9" spans="1:3" ht="18">
      <c r="A9" s="120" t="s">
        <v>748</v>
      </c>
      <c r="B9" s="120" t="s">
        <v>749</v>
      </c>
      <c r="C9" s="120" t="s">
        <v>29</v>
      </c>
    </row>
    <row r="10" spans="1:3" ht="18">
      <c r="A10" s="120" t="s">
        <v>750</v>
      </c>
      <c r="B10" s="120" t="s">
        <v>751</v>
      </c>
      <c r="C10" s="120" t="s"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6397-9B41-F746-AD32-AF4510ED20E8}">
  <dimension ref="A1:C7"/>
  <sheetViews>
    <sheetView workbookViewId="0">
      <selection activeCell="A5" sqref="A5:C6"/>
    </sheetView>
  </sheetViews>
  <sheetFormatPr baseColWidth="10" defaultRowHeight="15"/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7" t="s">
        <v>28</v>
      </c>
    </row>
    <row r="3" spans="1:3" ht="18">
      <c r="A3" s="118" t="s">
        <v>2</v>
      </c>
      <c r="B3" s="118" t="s">
        <v>2098</v>
      </c>
      <c r="C3" s="117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19</v>
      </c>
      <c r="B7" s="119" t="s">
        <v>2129</v>
      </c>
      <c r="C7" s="119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1AFA-B6E4-3B4B-8112-2D48DE747AC4}">
  <dimension ref="A1:L38"/>
  <sheetViews>
    <sheetView topLeftCell="A13" workbookViewId="0">
      <selection activeCell="E21" sqref="E21"/>
    </sheetView>
  </sheetViews>
  <sheetFormatPr baseColWidth="10" defaultRowHeight="15"/>
  <sheetData>
    <row r="1" spans="1:12" ht="21">
      <c r="A1" s="90" t="s">
        <v>2120</v>
      </c>
      <c r="B1" s="90" t="s">
        <v>2121</v>
      </c>
      <c r="C1" s="88" t="s">
        <v>2122</v>
      </c>
    </row>
    <row r="2" spans="1:12" ht="21">
      <c r="A2" s="88" t="s">
        <v>60</v>
      </c>
      <c r="B2" s="88" t="s">
        <v>711</v>
      </c>
      <c r="C2" s="88" t="s">
        <v>28</v>
      </c>
    </row>
    <row r="3" spans="1:12" ht="21">
      <c r="A3" s="88" t="s">
        <v>2</v>
      </c>
      <c r="B3" s="88" t="s">
        <v>2098</v>
      </c>
      <c r="C3" s="88" t="s">
        <v>28</v>
      </c>
      <c r="K3" s="107"/>
      <c r="L3" s="107"/>
    </row>
    <row r="4" spans="1:12" ht="21">
      <c r="A4" s="88" t="s">
        <v>1146</v>
      </c>
      <c r="B4" s="88" t="s">
        <v>1856</v>
      </c>
      <c r="C4" s="88" t="s">
        <v>28</v>
      </c>
    </row>
    <row r="5" spans="1:12" ht="21">
      <c r="A5" s="89" t="s">
        <v>1089</v>
      </c>
      <c r="B5" s="89" t="s">
        <v>2099</v>
      </c>
      <c r="C5" s="89" t="s">
        <v>28</v>
      </c>
    </row>
    <row r="6" spans="1:12" ht="19" customHeight="1">
      <c r="A6" s="89" t="s">
        <v>1827</v>
      </c>
      <c r="B6" s="89" t="s">
        <v>2100</v>
      </c>
      <c r="C6" s="89" t="s">
        <v>28</v>
      </c>
      <c r="K6" s="106"/>
      <c r="L6" s="106"/>
    </row>
    <row r="7" spans="1:12" ht="21">
      <c r="A7" s="89" t="s">
        <v>1912</v>
      </c>
      <c r="B7" s="89" t="s">
        <v>2061</v>
      </c>
      <c r="C7" s="89" t="s">
        <v>28</v>
      </c>
      <c r="K7" s="106"/>
      <c r="L7" s="106"/>
    </row>
    <row r="8" spans="1:12" ht="21">
      <c r="A8" s="89" t="s">
        <v>2107</v>
      </c>
      <c r="B8" s="89" t="s">
        <v>2111</v>
      </c>
      <c r="C8" s="89" t="s">
        <v>29</v>
      </c>
      <c r="K8" s="106"/>
      <c r="L8" s="106"/>
    </row>
    <row r="9" spans="1:12" ht="21">
      <c r="A9" s="89" t="s">
        <v>2117</v>
      </c>
      <c r="B9" s="89" t="s">
        <v>2112</v>
      </c>
      <c r="C9" s="89" t="s">
        <v>28</v>
      </c>
      <c r="K9" s="106"/>
      <c r="L9" s="106"/>
    </row>
    <row r="10" spans="1:12" ht="21">
      <c r="A10" s="89" t="s">
        <v>1739</v>
      </c>
      <c r="B10" s="89" t="s">
        <v>2110</v>
      </c>
      <c r="C10" s="89" t="s">
        <v>28</v>
      </c>
      <c r="K10" s="106"/>
      <c r="L10" s="106"/>
    </row>
    <row r="11" spans="1:12" ht="21">
      <c r="A11" s="89" t="s">
        <v>1744</v>
      </c>
      <c r="B11" s="89" t="s">
        <v>2113</v>
      </c>
      <c r="C11" s="89" t="s">
        <v>28</v>
      </c>
      <c r="K11" s="106"/>
      <c r="L11" s="106"/>
    </row>
    <row r="12" spans="1:12" ht="21">
      <c r="A12" s="89" t="s">
        <v>2114</v>
      </c>
      <c r="B12" s="89" t="s">
        <v>2115</v>
      </c>
      <c r="C12" s="89" t="s">
        <v>29</v>
      </c>
      <c r="K12" s="106"/>
      <c r="L12" s="106"/>
    </row>
    <row r="13" spans="1:12" ht="21">
      <c r="A13" s="89" t="s">
        <v>2104</v>
      </c>
      <c r="B13" s="89" t="s">
        <v>2116</v>
      </c>
      <c r="C13" s="89" t="s">
        <v>28</v>
      </c>
      <c r="K13" s="106"/>
      <c r="L13" s="106"/>
    </row>
    <row r="14" spans="1:12" ht="21">
      <c r="A14" s="89" t="s">
        <v>15</v>
      </c>
      <c r="B14" s="89" t="s">
        <v>2118</v>
      </c>
      <c r="C14" s="89" t="s">
        <v>29</v>
      </c>
      <c r="K14" s="106"/>
      <c r="L14" s="106"/>
    </row>
    <row r="15" spans="1:12" ht="32">
      <c r="A15" s="109" t="s">
        <v>2130</v>
      </c>
      <c r="B15" s="111" t="s">
        <v>2139</v>
      </c>
      <c r="C15" s="89" t="s">
        <v>28</v>
      </c>
      <c r="K15" s="106"/>
      <c r="L15" s="106"/>
    </row>
    <row r="16" spans="1:12" ht="32">
      <c r="A16" s="109" t="s">
        <v>2131</v>
      </c>
      <c r="B16" s="111" t="s">
        <v>2140</v>
      </c>
      <c r="C16" s="89" t="s">
        <v>28</v>
      </c>
      <c r="K16" s="106"/>
      <c r="L16" s="106"/>
    </row>
    <row r="17" spans="1:12" ht="21">
      <c r="A17" s="109" t="s">
        <v>2132</v>
      </c>
      <c r="B17" s="89" t="s">
        <v>1856</v>
      </c>
      <c r="C17" s="89" t="s">
        <v>28</v>
      </c>
      <c r="K17" s="106"/>
      <c r="L17" s="106"/>
    </row>
    <row r="18" spans="1:12" ht="21">
      <c r="A18" s="109" t="s">
        <v>2133</v>
      </c>
      <c r="B18" s="89" t="s">
        <v>2141</v>
      </c>
      <c r="C18" s="89" t="s">
        <v>28</v>
      </c>
      <c r="K18" s="106"/>
      <c r="L18" s="106"/>
    </row>
    <row r="19" spans="1:12" ht="21">
      <c r="A19" s="109" t="s">
        <v>2134</v>
      </c>
      <c r="B19" s="89" t="s">
        <v>2142</v>
      </c>
      <c r="C19" s="89" t="s">
        <v>28</v>
      </c>
      <c r="K19" s="106"/>
      <c r="L19" s="106"/>
    </row>
    <row r="20" spans="1:12" ht="21">
      <c r="A20" s="89" t="s">
        <v>1068</v>
      </c>
      <c r="B20" s="89" t="s">
        <v>1068</v>
      </c>
      <c r="C20" s="89" t="s">
        <v>29</v>
      </c>
      <c r="K20" s="106"/>
      <c r="L20" s="106"/>
    </row>
    <row r="21" spans="1:12" ht="21">
      <c r="A21" s="109" t="s">
        <v>2135</v>
      </c>
      <c r="B21" s="89" t="s">
        <v>2143</v>
      </c>
      <c r="C21" s="89" t="s">
        <v>28</v>
      </c>
      <c r="K21" s="106"/>
      <c r="L21" s="106"/>
    </row>
    <row r="22" spans="1:12" ht="21">
      <c r="A22" s="109" t="s">
        <v>2136</v>
      </c>
      <c r="B22" s="89" t="s">
        <v>2098</v>
      </c>
      <c r="C22" s="89" t="s">
        <v>28</v>
      </c>
      <c r="K22" s="106"/>
      <c r="L22" s="106"/>
    </row>
    <row r="23" spans="1:12" ht="32">
      <c r="A23" s="109" t="s">
        <v>1876</v>
      </c>
      <c r="B23" s="111" t="s">
        <v>2144</v>
      </c>
      <c r="C23" s="89" t="s">
        <v>28</v>
      </c>
      <c r="K23" s="106"/>
      <c r="L23" s="106"/>
    </row>
    <row r="24" spans="1:12" ht="21">
      <c r="A24" s="109" t="s">
        <v>2137</v>
      </c>
      <c r="B24" s="89" t="s">
        <v>2145</v>
      </c>
      <c r="C24" s="89" t="s">
        <v>28</v>
      </c>
      <c r="K24" s="106"/>
      <c r="L24" s="106"/>
    </row>
    <row r="25" spans="1:12" ht="21">
      <c r="A25" s="109" t="s">
        <v>2138</v>
      </c>
      <c r="B25" s="89" t="s">
        <v>2146</v>
      </c>
      <c r="C25" s="89" t="s">
        <v>28</v>
      </c>
      <c r="K25" s="106"/>
      <c r="L25" s="106"/>
    </row>
    <row r="26" spans="1:12">
      <c r="K26" s="106"/>
      <c r="L26" s="106"/>
    </row>
    <row r="27" spans="1:12">
      <c r="K27" s="106"/>
      <c r="L27" s="106"/>
    </row>
    <row r="28" spans="1:12">
      <c r="K28" s="106"/>
      <c r="L28" s="106"/>
    </row>
    <row r="29" spans="1:12">
      <c r="K29" s="106"/>
      <c r="L29" s="106"/>
    </row>
    <row r="30" spans="1:12">
      <c r="K30" s="106"/>
      <c r="L30" s="106"/>
    </row>
    <row r="31" spans="1:12">
      <c r="K31" s="106"/>
      <c r="L31" s="106"/>
    </row>
    <row r="32" spans="1:12">
      <c r="K32" s="106"/>
      <c r="L32" s="106"/>
    </row>
    <row r="33" spans="11:12">
      <c r="K33" s="106"/>
      <c r="L33" s="106"/>
    </row>
    <row r="34" spans="11:12">
      <c r="K34" s="106"/>
      <c r="L34" s="106"/>
    </row>
    <row r="35" spans="11:12">
      <c r="K35" s="106"/>
      <c r="L35" s="106"/>
    </row>
    <row r="36" spans="11:12">
      <c r="K36" s="106"/>
      <c r="L36" s="106"/>
    </row>
    <row r="37" spans="11:12">
      <c r="K37" s="106"/>
      <c r="L37" s="106"/>
    </row>
    <row r="38" spans="11:12">
      <c r="K38" s="106"/>
      <c r="L38" s="10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A4BA-A5B3-574E-9D44-F1B43027772C}">
  <dimension ref="A1:D87"/>
  <sheetViews>
    <sheetView zoomScale="141" workbookViewId="0">
      <selection activeCell="A7" sqref="A7:C87"/>
    </sheetView>
  </sheetViews>
  <sheetFormatPr baseColWidth="10" defaultRowHeight="18"/>
  <cols>
    <col min="1" max="1" width="21.5" style="117" customWidth="1"/>
    <col min="2" max="2" width="37.33203125" style="117" customWidth="1"/>
    <col min="3" max="3" width="10.83203125" style="117"/>
  </cols>
  <sheetData>
    <row r="1" spans="1:3">
      <c r="A1" s="115" t="s">
        <v>2120</v>
      </c>
      <c r="B1" s="116" t="s">
        <v>2121</v>
      </c>
      <c r="C1" s="117" t="s">
        <v>2122</v>
      </c>
    </row>
    <row r="2" spans="1:3">
      <c r="A2" s="118" t="s">
        <v>60</v>
      </c>
      <c r="B2" s="118" t="s">
        <v>711</v>
      </c>
      <c r="C2" s="117" t="s">
        <v>28</v>
      </c>
    </row>
    <row r="3" spans="1:3">
      <c r="A3" s="118" t="s">
        <v>2</v>
      </c>
      <c r="B3" s="118" t="s">
        <v>2098</v>
      </c>
      <c r="C3" s="117" t="s">
        <v>28</v>
      </c>
    </row>
    <row r="4" spans="1:3">
      <c r="A4" s="117" t="s">
        <v>1146</v>
      </c>
      <c r="B4" s="117" t="s">
        <v>1856</v>
      </c>
      <c r="C4" s="117" t="s">
        <v>28</v>
      </c>
    </row>
    <row r="5" spans="1:3">
      <c r="A5" s="119" t="s">
        <v>1089</v>
      </c>
      <c r="B5" s="119" t="s">
        <v>2099</v>
      </c>
      <c r="C5" s="119" t="s">
        <v>28</v>
      </c>
    </row>
    <row r="6" spans="1:3">
      <c r="A6" s="119" t="s">
        <v>1855</v>
      </c>
      <c r="B6" s="119" t="s">
        <v>2101</v>
      </c>
      <c r="C6" s="119" t="s">
        <v>28</v>
      </c>
    </row>
    <row r="7" spans="1:3">
      <c r="A7" s="119" t="s">
        <v>20</v>
      </c>
      <c r="B7" s="119" t="s">
        <v>725</v>
      </c>
      <c r="C7" s="119" t="s">
        <v>28</v>
      </c>
    </row>
    <row r="8" spans="1:3">
      <c r="A8" s="119" t="s">
        <v>19</v>
      </c>
      <c r="B8" s="119" t="s">
        <v>2129</v>
      </c>
      <c r="C8" s="119" t="s">
        <v>28</v>
      </c>
    </row>
    <row r="9" spans="1:3">
      <c r="A9" s="120" t="s">
        <v>748</v>
      </c>
      <c r="B9" s="120" t="s">
        <v>749</v>
      </c>
      <c r="C9" s="120" t="s">
        <v>29</v>
      </c>
    </row>
    <row r="10" spans="1:3">
      <c r="A10" s="120" t="s">
        <v>750</v>
      </c>
      <c r="B10" s="120" t="s">
        <v>751</v>
      </c>
      <c r="C10" s="120" t="s">
        <v>29</v>
      </c>
    </row>
    <row r="11" spans="1:3">
      <c r="A11" s="120" t="s">
        <v>752</v>
      </c>
      <c r="B11" s="120" t="s">
        <v>753</v>
      </c>
      <c r="C11" s="120" t="s">
        <v>29</v>
      </c>
    </row>
    <row r="12" spans="1:3">
      <c r="A12" s="120" t="s">
        <v>754</v>
      </c>
      <c r="B12" s="120" t="s">
        <v>755</v>
      </c>
      <c r="C12" s="120" t="s">
        <v>29</v>
      </c>
    </row>
    <row r="13" spans="1:3">
      <c r="A13" s="121" t="s">
        <v>756</v>
      </c>
      <c r="B13" s="122" t="s">
        <v>757</v>
      </c>
      <c r="C13" s="121" t="s">
        <v>29</v>
      </c>
    </row>
    <row r="14" spans="1:3">
      <c r="A14" s="120" t="s">
        <v>758</v>
      </c>
      <c r="B14" s="123" t="s">
        <v>759</v>
      </c>
      <c r="C14" s="120" t="s">
        <v>29</v>
      </c>
    </row>
    <row r="15" spans="1:3">
      <c r="A15" s="121" t="s">
        <v>760</v>
      </c>
      <c r="B15" s="121" t="s">
        <v>761</v>
      </c>
      <c r="C15" s="121" t="s">
        <v>29</v>
      </c>
    </row>
    <row r="16" spans="1:3">
      <c r="A16" s="121" t="s">
        <v>762</v>
      </c>
      <c r="B16" s="122" t="s">
        <v>763</v>
      </c>
      <c r="C16" s="121" t="s">
        <v>29</v>
      </c>
    </row>
    <row r="17" spans="1:3">
      <c r="A17" s="121" t="s">
        <v>764</v>
      </c>
      <c r="B17" s="121" t="s">
        <v>765</v>
      </c>
      <c r="C17" s="121" t="s">
        <v>29</v>
      </c>
    </row>
    <row r="18" spans="1:3">
      <c r="A18" s="121" t="s">
        <v>766</v>
      </c>
      <c r="B18" s="121" t="s">
        <v>767</v>
      </c>
      <c r="C18" s="121" t="s">
        <v>29</v>
      </c>
    </row>
    <row r="19" spans="1:3">
      <c r="A19" s="121" t="s">
        <v>768</v>
      </c>
      <c r="B19" s="121" t="s">
        <v>769</v>
      </c>
      <c r="C19" s="121" t="s">
        <v>29</v>
      </c>
    </row>
    <row r="20" spans="1:3">
      <c r="A20" s="121" t="s">
        <v>770</v>
      </c>
      <c r="B20" s="121" t="s">
        <v>771</v>
      </c>
      <c r="C20" s="121" t="s">
        <v>29</v>
      </c>
    </row>
    <row r="21" spans="1:3">
      <c r="A21" s="121" t="s">
        <v>772</v>
      </c>
      <c r="B21" s="121" t="s">
        <v>773</v>
      </c>
      <c r="C21" s="121" t="s">
        <v>29</v>
      </c>
    </row>
    <row r="22" spans="1:3">
      <c r="A22" s="120" t="s">
        <v>774</v>
      </c>
      <c r="B22" s="123" t="s">
        <v>775</v>
      </c>
      <c r="C22" s="120" t="s">
        <v>29</v>
      </c>
    </row>
    <row r="23" spans="1:3">
      <c r="A23" s="120" t="s">
        <v>776</v>
      </c>
      <c r="B23" s="123" t="s">
        <v>777</v>
      </c>
      <c r="C23" s="120" t="s">
        <v>29</v>
      </c>
    </row>
    <row r="24" spans="1:3">
      <c r="A24" s="121" t="s">
        <v>778</v>
      </c>
      <c r="B24" s="122" t="s">
        <v>779</v>
      </c>
      <c r="C24" s="121" t="s">
        <v>29</v>
      </c>
    </row>
    <row r="25" spans="1:3">
      <c r="A25" s="122" t="s">
        <v>780</v>
      </c>
      <c r="B25" s="122" t="s">
        <v>781</v>
      </c>
      <c r="C25" s="121" t="s">
        <v>29</v>
      </c>
    </row>
    <row r="26" spans="1:3">
      <c r="A26" s="122" t="s">
        <v>1101</v>
      </c>
      <c r="B26" s="122" t="s">
        <v>782</v>
      </c>
      <c r="C26" s="121" t="s">
        <v>28</v>
      </c>
    </row>
    <row r="27" spans="1:3">
      <c r="A27" s="124" t="s">
        <v>5</v>
      </c>
      <c r="B27" s="124" t="s">
        <v>36</v>
      </c>
      <c r="C27" s="125" t="s">
        <v>28</v>
      </c>
    </row>
    <row r="28" spans="1:3">
      <c r="A28" s="126" t="s">
        <v>6</v>
      </c>
      <c r="B28" s="126" t="s">
        <v>37</v>
      </c>
      <c r="C28" s="127" t="s">
        <v>28</v>
      </c>
    </row>
    <row r="29" spans="1:3">
      <c r="A29" s="126" t="s">
        <v>7</v>
      </c>
      <c r="B29" s="126" t="s">
        <v>38</v>
      </c>
      <c r="C29" s="127" t="s">
        <v>28</v>
      </c>
    </row>
    <row r="30" spans="1:3">
      <c r="A30" s="126" t="s">
        <v>8</v>
      </c>
      <c r="B30" s="126" t="s">
        <v>39</v>
      </c>
      <c r="C30" s="127" t="s">
        <v>28</v>
      </c>
    </row>
    <row r="31" spans="1:3">
      <c r="A31" s="126" t="s">
        <v>9</v>
      </c>
      <c r="B31" s="126" t="s">
        <v>40</v>
      </c>
      <c r="C31" s="127" t="s">
        <v>28</v>
      </c>
    </row>
    <row r="32" spans="1:3">
      <c r="A32" s="126" t="s">
        <v>10</v>
      </c>
      <c r="B32" s="126" t="s">
        <v>41</v>
      </c>
      <c r="C32" s="127" t="s">
        <v>28</v>
      </c>
    </row>
    <row r="33" spans="1:3">
      <c r="A33" s="126" t="s">
        <v>11</v>
      </c>
      <c r="B33" s="126" t="s">
        <v>42</v>
      </c>
      <c r="C33" s="127" t="s">
        <v>28</v>
      </c>
    </row>
    <row r="34" spans="1:3">
      <c r="A34" s="126" t="s">
        <v>12</v>
      </c>
      <c r="B34" s="126" t="s">
        <v>43</v>
      </c>
      <c r="C34" s="127" t="s">
        <v>28</v>
      </c>
    </row>
    <row r="35" spans="1:3">
      <c r="A35" s="126" t="s">
        <v>13</v>
      </c>
      <c r="B35" s="126" t="s">
        <v>44</v>
      </c>
      <c r="C35" s="127" t="s">
        <v>28</v>
      </c>
    </row>
    <row r="36" spans="1:3">
      <c r="A36" s="126" t="s">
        <v>14</v>
      </c>
      <c r="B36" s="126" t="s">
        <v>45</v>
      </c>
      <c r="C36" s="127" t="s">
        <v>28</v>
      </c>
    </row>
    <row r="37" spans="1:3">
      <c r="A37" s="128" t="s">
        <v>792</v>
      </c>
      <c r="B37" s="123" t="s">
        <v>793</v>
      </c>
      <c r="C37" s="129" t="s">
        <v>28</v>
      </c>
    </row>
    <row r="38" spans="1:3">
      <c r="A38" s="120" t="s">
        <v>783</v>
      </c>
      <c r="B38" s="123" t="s">
        <v>784</v>
      </c>
      <c r="C38" s="120" t="s">
        <v>29</v>
      </c>
    </row>
    <row r="39" spans="1:3">
      <c r="A39" s="120" t="s">
        <v>785</v>
      </c>
      <c r="B39" s="120" t="s">
        <v>786</v>
      </c>
      <c r="C39" s="120" t="s">
        <v>29</v>
      </c>
    </row>
    <row r="40" spans="1:3">
      <c r="A40" s="120" t="s">
        <v>787</v>
      </c>
      <c r="B40" s="120" t="s">
        <v>788</v>
      </c>
      <c r="C40" s="120" t="s">
        <v>29</v>
      </c>
    </row>
    <row r="41" spans="1:3">
      <c r="A41" s="120" t="s">
        <v>789</v>
      </c>
      <c r="B41" s="122" t="s">
        <v>790</v>
      </c>
      <c r="C41" s="120" t="s">
        <v>29</v>
      </c>
    </row>
    <row r="42" spans="1:3">
      <c r="A42" s="118" t="s">
        <v>1091</v>
      </c>
      <c r="B42" s="118" t="s">
        <v>1147</v>
      </c>
      <c r="C42" s="117" t="s">
        <v>28</v>
      </c>
    </row>
    <row r="43" spans="1:3">
      <c r="A43" s="118" t="s">
        <v>1821</v>
      </c>
      <c r="B43" s="122" t="s">
        <v>1822</v>
      </c>
      <c r="C43" s="117" t="s">
        <v>28</v>
      </c>
    </row>
    <row r="44" spans="1:3">
      <c r="A44" s="117" t="s">
        <v>836</v>
      </c>
      <c r="B44" s="117" t="s">
        <v>931</v>
      </c>
      <c r="C44" s="117" t="s">
        <v>28</v>
      </c>
    </row>
    <row r="45" spans="1:3">
      <c r="A45" s="118" t="s">
        <v>932</v>
      </c>
      <c r="B45" s="118" t="s">
        <v>933</v>
      </c>
      <c r="C45" s="118" t="s">
        <v>29</v>
      </c>
    </row>
    <row r="46" spans="1:3">
      <c r="A46" s="117" t="s">
        <v>934</v>
      </c>
      <c r="B46" s="117" t="s">
        <v>935</v>
      </c>
      <c r="C46" s="117" t="s">
        <v>29</v>
      </c>
    </row>
    <row r="47" spans="1:3">
      <c r="A47" s="118" t="s">
        <v>936</v>
      </c>
      <c r="B47" s="118" t="s">
        <v>937</v>
      </c>
      <c r="C47" s="118" t="s">
        <v>29</v>
      </c>
    </row>
    <row r="48" spans="1:3">
      <c r="A48" s="117" t="s">
        <v>833</v>
      </c>
      <c r="B48" s="117" t="s">
        <v>938</v>
      </c>
      <c r="C48" s="117" t="s">
        <v>29</v>
      </c>
    </row>
    <row r="49" spans="1:4">
      <c r="A49" s="135" t="s">
        <v>712</v>
      </c>
      <c r="B49" s="136" t="s">
        <v>713</v>
      </c>
      <c r="C49" s="117" t="s">
        <v>29</v>
      </c>
    </row>
    <row r="50" spans="1:4">
      <c r="A50" s="130" t="s">
        <v>731</v>
      </c>
      <c r="B50" s="131" t="s">
        <v>732</v>
      </c>
      <c r="C50" s="117" t="s">
        <v>29</v>
      </c>
    </row>
    <row r="51" spans="1:4">
      <c r="A51" s="130" t="s">
        <v>733</v>
      </c>
      <c r="B51" s="123" t="s">
        <v>734</v>
      </c>
      <c r="C51" s="117" t="s">
        <v>29</v>
      </c>
    </row>
    <row r="52" spans="1:4">
      <c r="A52" s="130" t="s">
        <v>735</v>
      </c>
      <c r="B52" s="123" t="s">
        <v>736</v>
      </c>
      <c r="C52" s="117" t="s">
        <v>29</v>
      </c>
    </row>
    <row r="53" spans="1:4">
      <c r="A53" s="130" t="s">
        <v>737</v>
      </c>
      <c r="B53" s="131" t="s">
        <v>738</v>
      </c>
      <c r="C53" s="117" t="s">
        <v>29</v>
      </c>
    </row>
    <row r="54" spans="1:4">
      <c r="A54" s="130" t="s">
        <v>739</v>
      </c>
      <c r="B54" s="131" t="s">
        <v>740</v>
      </c>
      <c r="C54" s="117" t="s">
        <v>29</v>
      </c>
    </row>
    <row r="55" spans="1:4">
      <c r="A55" s="130" t="s">
        <v>741</v>
      </c>
      <c r="B55" s="131" t="s">
        <v>742</v>
      </c>
      <c r="C55" s="117" t="s">
        <v>29</v>
      </c>
    </row>
    <row r="56" spans="1:4">
      <c r="A56" s="122" t="s">
        <v>1813</v>
      </c>
      <c r="B56" s="118" t="s">
        <v>1814</v>
      </c>
      <c r="C56" s="118" t="s">
        <v>28</v>
      </c>
    </row>
    <row r="57" spans="1:4">
      <c r="A57" s="117" t="s">
        <v>1747</v>
      </c>
      <c r="B57" s="123" t="s">
        <v>1823</v>
      </c>
      <c r="C57" s="117" t="s">
        <v>28</v>
      </c>
    </row>
    <row r="58" spans="1:4">
      <c r="A58" s="117" t="s">
        <v>1811</v>
      </c>
      <c r="B58" s="123" t="s">
        <v>1816</v>
      </c>
      <c r="C58" s="117" t="s">
        <v>28</v>
      </c>
    </row>
    <row r="59" spans="1:4">
      <c r="A59" s="117" t="s">
        <v>1817</v>
      </c>
      <c r="B59" s="123" t="s">
        <v>1818</v>
      </c>
      <c r="C59" s="117" t="s">
        <v>28</v>
      </c>
      <c r="D59" s="113"/>
    </row>
    <row r="60" spans="1:4">
      <c r="A60" s="117" t="s">
        <v>895</v>
      </c>
      <c r="B60" s="123" t="s">
        <v>1819</v>
      </c>
      <c r="C60" s="117" t="s">
        <v>29</v>
      </c>
      <c r="D60" s="113"/>
    </row>
    <row r="61" spans="1:4">
      <c r="A61" s="117" t="s">
        <v>887</v>
      </c>
      <c r="B61" s="123" t="s">
        <v>1820</v>
      </c>
      <c r="C61" s="117" t="s">
        <v>28</v>
      </c>
      <c r="D61" s="113"/>
    </row>
    <row r="62" spans="1:4">
      <c r="A62" s="124" t="s">
        <v>5</v>
      </c>
      <c r="B62" s="124" t="s">
        <v>36</v>
      </c>
      <c r="C62" s="125" t="s">
        <v>28</v>
      </c>
      <c r="D62" s="113"/>
    </row>
    <row r="63" spans="1:4">
      <c r="A63" s="118" t="s">
        <v>1110</v>
      </c>
      <c r="B63" s="122" t="s">
        <v>1111</v>
      </c>
      <c r="C63" s="118" t="s">
        <v>29</v>
      </c>
      <c r="D63" s="113"/>
    </row>
    <row r="64" spans="1:4">
      <c r="A64" s="117" t="s">
        <v>1030</v>
      </c>
      <c r="B64" s="123" t="s">
        <v>1029</v>
      </c>
      <c r="C64" s="117" t="s">
        <v>29</v>
      </c>
      <c r="D64" s="113"/>
    </row>
    <row r="65" spans="1:4">
      <c r="A65" s="123" t="s">
        <v>1808</v>
      </c>
      <c r="B65" s="131" t="s">
        <v>1809</v>
      </c>
      <c r="C65" s="117" t="s">
        <v>28</v>
      </c>
      <c r="D65" s="113"/>
    </row>
    <row r="66" spans="1:4">
      <c r="A66" s="136" t="s">
        <v>724</v>
      </c>
      <c r="B66" s="136" t="s">
        <v>2156</v>
      </c>
      <c r="C66" s="118" t="s">
        <v>29</v>
      </c>
    </row>
    <row r="67" spans="1:4">
      <c r="A67" s="136" t="s">
        <v>714</v>
      </c>
      <c r="B67" s="136" t="s">
        <v>715</v>
      </c>
      <c r="C67" s="117" t="s">
        <v>29</v>
      </c>
    </row>
    <row r="68" spans="1:4">
      <c r="A68" s="136" t="s">
        <v>716</v>
      </c>
      <c r="B68" s="136" t="s">
        <v>717</v>
      </c>
      <c r="C68" s="118" t="s">
        <v>29</v>
      </c>
    </row>
    <row r="69" spans="1:4">
      <c r="A69" s="136" t="s">
        <v>722</v>
      </c>
      <c r="B69" s="136" t="s">
        <v>723</v>
      </c>
      <c r="C69" s="117" t="s">
        <v>29</v>
      </c>
    </row>
    <row r="70" spans="1:4">
      <c r="A70" s="135" t="s">
        <v>718</v>
      </c>
      <c r="B70" s="135" t="s">
        <v>719</v>
      </c>
      <c r="C70" s="117" t="s">
        <v>29</v>
      </c>
    </row>
    <row r="71" spans="1:4">
      <c r="A71" s="136" t="s">
        <v>720</v>
      </c>
      <c r="B71" s="136" t="s">
        <v>721</v>
      </c>
      <c r="C71" s="118" t="s">
        <v>29</v>
      </c>
    </row>
    <row r="72" spans="1:4">
      <c r="A72" s="132" t="s">
        <v>1090</v>
      </c>
      <c r="B72" s="132" t="s">
        <v>2085</v>
      </c>
      <c r="C72" s="117" t="s">
        <v>28</v>
      </c>
    </row>
    <row r="73" spans="1:4">
      <c r="A73" s="132" t="s">
        <v>1760</v>
      </c>
      <c r="B73" s="123" t="s">
        <v>2123</v>
      </c>
      <c r="C73" s="117" t="s">
        <v>28</v>
      </c>
    </row>
    <row r="74" spans="1:4">
      <c r="A74" s="133" t="s">
        <v>2097</v>
      </c>
      <c r="B74" s="133" t="s">
        <v>2086</v>
      </c>
      <c r="C74" s="118" t="s">
        <v>28</v>
      </c>
    </row>
    <row r="75" spans="1:4">
      <c r="A75" s="133" t="s">
        <v>2090</v>
      </c>
      <c r="B75" s="133" t="s">
        <v>2087</v>
      </c>
      <c r="C75" s="118" t="s">
        <v>28</v>
      </c>
    </row>
    <row r="76" spans="1:4">
      <c r="A76" s="132" t="s">
        <v>2091</v>
      </c>
      <c r="B76" s="132" t="s">
        <v>2088</v>
      </c>
      <c r="C76" s="117" t="s">
        <v>28</v>
      </c>
    </row>
    <row r="77" spans="1:4">
      <c r="A77" s="134" t="s">
        <v>2130</v>
      </c>
      <c r="B77" s="122" t="s">
        <v>2139</v>
      </c>
      <c r="C77" s="119" t="s">
        <v>28</v>
      </c>
    </row>
    <row r="78" spans="1:4">
      <c r="A78" s="134" t="s">
        <v>2131</v>
      </c>
      <c r="B78" s="122" t="s">
        <v>2140</v>
      </c>
      <c r="C78" s="119" t="s">
        <v>28</v>
      </c>
    </row>
    <row r="79" spans="1:4">
      <c r="A79" s="128" t="s">
        <v>2132</v>
      </c>
      <c r="B79" s="119" t="s">
        <v>1856</v>
      </c>
      <c r="C79" s="119" t="s">
        <v>28</v>
      </c>
    </row>
    <row r="80" spans="1:4">
      <c r="A80" s="128" t="s">
        <v>2133</v>
      </c>
      <c r="B80" s="119" t="s">
        <v>2141</v>
      </c>
      <c r="C80" s="119" t="s">
        <v>28</v>
      </c>
    </row>
    <row r="81" spans="1:3">
      <c r="A81" s="134" t="s">
        <v>2134</v>
      </c>
      <c r="B81" s="119" t="s">
        <v>2142</v>
      </c>
      <c r="C81" s="119" t="s">
        <v>28</v>
      </c>
    </row>
    <row r="82" spans="1:3">
      <c r="A82" s="119" t="s">
        <v>1068</v>
      </c>
      <c r="B82" s="119" t="s">
        <v>1068</v>
      </c>
      <c r="C82" s="119" t="s">
        <v>29</v>
      </c>
    </row>
    <row r="83" spans="1:3">
      <c r="A83" s="128" t="s">
        <v>2135</v>
      </c>
      <c r="B83" s="119" t="s">
        <v>2143</v>
      </c>
      <c r="C83" s="119" t="s">
        <v>28</v>
      </c>
    </row>
    <row r="84" spans="1:3">
      <c r="A84" s="128" t="s">
        <v>2136</v>
      </c>
      <c r="B84" s="119" t="s">
        <v>2098</v>
      </c>
      <c r="C84" s="119" t="s">
        <v>28</v>
      </c>
    </row>
    <row r="85" spans="1:3">
      <c r="A85" s="134" t="s">
        <v>1876</v>
      </c>
      <c r="B85" s="122" t="s">
        <v>2144</v>
      </c>
      <c r="C85" s="119" t="s">
        <v>28</v>
      </c>
    </row>
    <row r="86" spans="1:3">
      <c r="A86" s="128" t="s">
        <v>2137</v>
      </c>
      <c r="B86" s="119" t="s">
        <v>2145</v>
      </c>
      <c r="C86" s="119" t="s">
        <v>28</v>
      </c>
    </row>
    <row r="87" spans="1:3">
      <c r="A87" s="128" t="s">
        <v>2138</v>
      </c>
      <c r="B87" s="119" t="s">
        <v>2146</v>
      </c>
      <c r="C87" s="119" t="s">
        <v>28</v>
      </c>
    </row>
  </sheetData>
  <hyperlinks>
    <hyperlink ref="A49" r:id="rId1" display="https://www.lazyportfolioetf.com/etf/vanguard-total-stock-market-vti/" xr:uid="{AD6C5472-0C89-CC48-8701-5E0D510E9A9F}"/>
    <hyperlink ref="B49" r:id="rId2" display="https://www.lazyportfolioetf.com/etf/vanguard-total-stock-market-vti/" xr:uid="{AB175C42-319C-0742-A6BD-935713513850}"/>
    <hyperlink ref="A67" r:id="rId3" display="https://www.lazyportfolioetf.com/etf/ishares-20-year-treasury-bond/" xr:uid="{66E2CB1B-6FF0-4D47-A351-25A02287FEA2}"/>
    <hyperlink ref="B67" r:id="rId4" display="https://www.lazyportfolioetf.com/etf/ishares-20-year-treasury-bond/" xr:uid="{F6C954D9-1A64-6544-90C9-7B283D46260B}"/>
    <hyperlink ref="A68" r:id="rId5" display="https://www.lazyportfolioetf.com/etf/ishares-3-7-year-treasury-bond-iei/" xr:uid="{8232D2F5-2ABD-AA4A-9C3C-5AAE637134E4}"/>
    <hyperlink ref="B68" r:id="rId6" display="https://www.lazyportfolioetf.com/etf/ishares-3-7-year-treasury-bond-iei/" xr:uid="{5953300C-097D-4E4F-A0EE-8CE4EC3E8182}"/>
    <hyperlink ref="A70" r:id="rId7" display="https://www.lazyportfolioetf.com/etf/spdr-gold-trust-gld/" xr:uid="{33252EEA-BC3D-F440-A8A7-E58CD991DF22}"/>
    <hyperlink ref="B70" r:id="rId8" display="https://www.lazyportfolioetf.com/etf/spdr-gold-trust-gld/" xr:uid="{7E8D1208-5C64-8648-A166-8709A3C49E2F}"/>
    <hyperlink ref="A71" r:id="rId9" display="https://www.lazyportfolioetf.com/etf/ishares-sp-gsci-commodity-indexed-trust-gsg/" xr:uid="{2F89FB01-C1FC-A54E-87B7-019C834A8A99}"/>
    <hyperlink ref="B71" r:id="rId10" display="https://www.lazyportfolioetf.com/etf/ishares-sp-gsci-commodity-indexed-trust-gsg/" xr:uid="{FE6EE6D3-6E85-C540-B520-3E69A8D993DA}"/>
    <hyperlink ref="B69" r:id="rId11" display="https://www.lazyportfolioetf.com/etf/ishares-1-3-year-treasury-bond-shy/" xr:uid="{A631EA4A-C7B2-4743-ABC7-F5B2760D41E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94A4-A4C3-5B46-B7A1-3BC1DE5D7A12}">
  <dimension ref="A1:L109"/>
  <sheetViews>
    <sheetView topLeftCell="A90" workbookViewId="0">
      <selection activeCell="A99" sqref="A99:C109"/>
    </sheetView>
  </sheetViews>
  <sheetFormatPr baseColWidth="10" defaultRowHeight="15"/>
  <cols>
    <col min="1" max="1" width="21.5" style="110" customWidth="1"/>
    <col min="2" max="2" width="29.1640625" style="110" customWidth="1"/>
    <col min="3" max="3" width="10.83203125" style="110"/>
  </cols>
  <sheetData>
    <row r="1" spans="1:12" ht="21">
      <c r="A1" s="112" t="s">
        <v>2120</v>
      </c>
      <c r="B1" s="90" t="s">
        <v>2121</v>
      </c>
      <c r="C1" s="88" t="s">
        <v>2122</v>
      </c>
    </row>
    <row r="2" spans="1:12" ht="21">
      <c r="A2" s="88" t="s">
        <v>60</v>
      </c>
      <c r="B2" s="88" t="s">
        <v>711</v>
      </c>
      <c r="C2" s="88" t="s">
        <v>28</v>
      </c>
    </row>
    <row r="3" spans="1:12" ht="21">
      <c r="A3" s="88" t="s">
        <v>2</v>
      </c>
      <c r="B3" s="88" t="s">
        <v>2098</v>
      </c>
      <c r="C3" s="88" t="s">
        <v>28</v>
      </c>
      <c r="K3" s="107"/>
      <c r="L3" s="107"/>
    </row>
    <row r="4" spans="1:12" ht="21">
      <c r="A4" s="88" t="s">
        <v>1146</v>
      </c>
      <c r="B4" s="88" t="s">
        <v>1856</v>
      </c>
      <c r="C4" s="88" t="s">
        <v>28</v>
      </c>
    </row>
    <row r="5" spans="1:12" ht="21">
      <c r="A5" s="89" t="s">
        <v>1089</v>
      </c>
      <c r="B5" s="89" t="s">
        <v>2099</v>
      </c>
      <c r="C5" s="89" t="s">
        <v>28</v>
      </c>
    </row>
    <row r="6" spans="1:12" ht="21">
      <c r="A6" s="89" t="s">
        <v>1855</v>
      </c>
      <c r="B6" s="89" t="s">
        <v>2101</v>
      </c>
      <c r="C6" s="89" t="s">
        <v>28</v>
      </c>
    </row>
    <row r="7" spans="1:12" ht="21">
      <c r="A7" s="89" t="s">
        <v>20</v>
      </c>
      <c r="B7" s="89" t="s">
        <v>725</v>
      </c>
      <c r="C7" s="89" t="s">
        <v>28</v>
      </c>
    </row>
    <row r="8" spans="1:12" ht="21">
      <c r="A8" s="89" t="s">
        <v>19</v>
      </c>
      <c r="B8" s="89" t="s">
        <v>2129</v>
      </c>
      <c r="C8" s="89" t="s">
        <v>28</v>
      </c>
    </row>
    <row r="9" spans="1:12" ht="20">
      <c r="A9" s="64" t="s">
        <v>748</v>
      </c>
      <c r="B9" s="64" t="s">
        <v>749</v>
      </c>
      <c r="C9" s="64" t="s">
        <v>29</v>
      </c>
    </row>
    <row r="10" spans="1:12" ht="20">
      <c r="A10" s="64" t="s">
        <v>750</v>
      </c>
      <c r="B10" s="64" t="s">
        <v>751</v>
      </c>
      <c r="C10" s="64" t="s">
        <v>29</v>
      </c>
    </row>
    <row r="11" spans="1:12" ht="20">
      <c r="A11" s="64" t="s">
        <v>752</v>
      </c>
      <c r="B11" s="64" t="s">
        <v>753</v>
      </c>
      <c r="C11" s="64" t="s">
        <v>29</v>
      </c>
    </row>
    <row r="12" spans="1:12" ht="20">
      <c r="A12" s="64" t="s">
        <v>754</v>
      </c>
      <c r="B12" s="64" t="s">
        <v>755</v>
      </c>
      <c r="C12" s="64" t="s">
        <v>29</v>
      </c>
    </row>
    <row r="13" spans="1:12" ht="20">
      <c r="A13" s="64" t="s">
        <v>756</v>
      </c>
      <c r="B13" s="59" t="s">
        <v>757</v>
      </c>
      <c r="C13" s="64" t="s">
        <v>29</v>
      </c>
    </row>
    <row r="14" spans="1:12" ht="20">
      <c r="A14" s="64" t="s">
        <v>758</v>
      </c>
      <c r="B14" s="59" t="s">
        <v>759</v>
      </c>
      <c r="C14" s="64" t="s">
        <v>29</v>
      </c>
    </row>
    <row r="15" spans="1:12" ht="20">
      <c r="A15" s="64" t="s">
        <v>760</v>
      </c>
      <c r="B15" s="64" t="s">
        <v>761</v>
      </c>
      <c r="C15" s="64" t="s">
        <v>29</v>
      </c>
    </row>
    <row r="16" spans="1:12" ht="20">
      <c r="A16" s="64" t="s">
        <v>762</v>
      </c>
      <c r="B16" s="59" t="s">
        <v>763</v>
      </c>
      <c r="C16" s="64" t="s">
        <v>29</v>
      </c>
    </row>
    <row r="17" spans="1:3" ht="20">
      <c r="A17" s="64" t="s">
        <v>764</v>
      </c>
      <c r="B17" s="64" t="s">
        <v>765</v>
      </c>
      <c r="C17" s="64" t="s">
        <v>29</v>
      </c>
    </row>
    <row r="18" spans="1:3" ht="20">
      <c r="A18" s="64" t="s">
        <v>766</v>
      </c>
      <c r="B18" s="64" t="s">
        <v>767</v>
      </c>
      <c r="C18" s="64" t="s">
        <v>29</v>
      </c>
    </row>
    <row r="19" spans="1:3" ht="20">
      <c r="A19" s="64" t="s">
        <v>768</v>
      </c>
      <c r="B19" s="64" t="s">
        <v>769</v>
      </c>
      <c r="C19" s="64" t="s">
        <v>29</v>
      </c>
    </row>
    <row r="20" spans="1:3" ht="20">
      <c r="A20" s="64" t="s">
        <v>770</v>
      </c>
      <c r="B20" s="64" t="s">
        <v>771</v>
      </c>
      <c r="C20" s="64" t="s">
        <v>29</v>
      </c>
    </row>
    <row r="21" spans="1:3" ht="20">
      <c r="A21" s="64" t="s">
        <v>772</v>
      </c>
      <c r="B21" s="64" t="s">
        <v>773</v>
      </c>
      <c r="C21" s="64" t="s">
        <v>29</v>
      </c>
    </row>
    <row r="22" spans="1:3" ht="20">
      <c r="A22" s="64" t="s">
        <v>774</v>
      </c>
      <c r="B22" s="59" t="s">
        <v>775</v>
      </c>
      <c r="C22" s="64" t="s">
        <v>29</v>
      </c>
    </row>
    <row r="23" spans="1:3" ht="20">
      <c r="A23" s="64" t="s">
        <v>776</v>
      </c>
      <c r="B23" s="59" t="s">
        <v>777</v>
      </c>
      <c r="C23" s="64" t="s">
        <v>29</v>
      </c>
    </row>
    <row r="24" spans="1:3" ht="20">
      <c r="A24" s="64" t="s">
        <v>778</v>
      </c>
      <c r="B24" s="59" t="s">
        <v>779</v>
      </c>
      <c r="C24" s="64" t="s">
        <v>29</v>
      </c>
    </row>
    <row r="25" spans="1:3" ht="20">
      <c r="A25" s="59" t="s">
        <v>780</v>
      </c>
      <c r="B25" s="59" t="s">
        <v>781</v>
      </c>
      <c r="C25" s="64" t="s">
        <v>29</v>
      </c>
    </row>
    <row r="26" spans="1:3" ht="20">
      <c r="A26" s="59" t="s">
        <v>1101</v>
      </c>
      <c r="B26" s="59" t="s">
        <v>782</v>
      </c>
      <c r="C26" s="64" t="s">
        <v>28</v>
      </c>
    </row>
    <row r="27" spans="1:3" ht="23">
      <c r="A27" s="18" t="s">
        <v>1810</v>
      </c>
      <c r="B27" s="65" t="s">
        <v>791</v>
      </c>
      <c r="C27" s="65" t="s">
        <v>29</v>
      </c>
    </row>
    <row r="28" spans="1:3" ht="20">
      <c r="A28" s="66" t="s">
        <v>5</v>
      </c>
      <c r="B28" s="66" t="s">
        <v>36</v>
      </c>
      <c r="C28" s="67" t="s">
        <v>28</v>
      </c>
    </row>
    <row r="29" spans="1:3" ht="20">
      <c r="A29" s="68" t="s">
        <v>6</v>
      </c>
      <c r="B29" s="68" t="s">
        <v>37</v>
      </c>
      <c r="C29" s="69" t="s">
        <v>28</v>
      </c>
    </row>
    <row r="30" spans="1:3" ht="20">
      <c r="A30" s="68" t="s">
        <v>7</v>
      </c>
      <c r="B30" s="68" t="s">
        <v>38</v>
      </c>
      <c r="C30" s="69" t="s">
        <v>28</v>
      </c>
    </row>
    <row r="31" spans="1:3" ht="20">
      <c r="A31" s="68" t="s">
        <v>8</v>
      </c>
      <c r="B31" s="68" t="s">
        <v>39</v>
      </c>
      <c r="C31" s="69" t="s">
        <v>28</v>
      </c>
    </row>
    <row r="32" spans="1:3" ht="20">
      <c r="A32" s="68" t="s">
        <v>9</v>
      </c>
      <c r="B32" s="68" t="s">
        <v>40</v>
      </c>
      <c r="C32" s="69" t="s">
        <v>28</v>
      </c>
    </row>
    <row r="33" spans="1:6" ht="20">
      <c r="A33" s="68" t="s">
        <v>10</v>
      </c>
      <c r="B33" s="68" t="s">
        <v>41</v>
      </c>
      <c r="C33" s="69" t="s">
        <v>28</v>
      </c>
    </row>
    <row r="34" spans="1:6" ht="20">
      <c r="A34" s="68" t="s">
        <v>11</v>
      </c>
      <c r="B34" s="68" t="s">
        <v>42</v>
      </c>
      <c r="C34" s="69" t="s">
        <v>28</v>
      </c>
    </row>
    <row r="35" spans="1:6" ht="20">
      <c r="A35" s="68" t="s">
        <v>12</v>
      </c>
      <c r="B35" s="68" t="s">
        <v>43</v>
      </c>
      <c r="C35" s="69" t="s">
        <v>28</v>
      </c>
    </row>
    <row r="36" spans="1:6" ht="20">
      <c r="A36" s="68" t="s">
        <v>13</v>
      </c>
      <c r="B36" s="68" t="s">
        <v>44</v>
      </c>
      <c r="C36" s="69" t="s">
        <v>28</v>
      </c>
    </row>
    <row r="37" spans="1:6" ht="20">
      <c r="A37" s="68" t="s">
        <v>14</v>
      </c>
      <c r="B37" s="68" t="s">
        <v>45</v>
      </c>
      <c r="C37" s="69" t="s">
        <v>28</v>
      </c>
    </row>
    <row r="38" spans="1:6" ht="20">
      <c r="A38" s="65" t="s">
        <v>792</v>
      </c>
      <c r="B38" s="59" t="s">
        <v>793</v>
      </c>
      <c r="C38" s="70" t="s">
        <v>28</v>
      </c>
    </row>
    <row r="39" spans="1:6" ht="20">
      <c r="A39" s="64" t="s">
        <v>783</v>
      </c>
      <c r="B39" s="59" t="s">
        <v>784</v>
      </c>
      <c r="C39" s="64" t="s">
        <v>29</v>
      </c>
    </row>
    <row r="40" spans="1:6" ht="20">
      <c r="A40" s="64" t="s">
        <v>785</v>
      </c>
      <c r="B40" s="64" t="s">
        <v>786</v>
      </c>
      <c r="C40" s="64" t="s">
        <v>29</v>
      </c>
    </row>
    <row r="41" spans="1:6" ht="20">
      <c r="A41" s="64" t="s">
        <v>787</v>
      </c>
      <c r="B41" s="64" t="s">
        <v>788</v>
      </c>
      <c r="C41" s="64" t="s">
        <v>29</v>
      </c>
    </row>
    <row r="42" spans="1:6" ht="20">
      <c r="A42" s="64" t="s">
        <v>789</v>
      </c>
      <c r="B42" s="59" t="s">
        <v>790</v>
      </c>
      <c r="C42" s="64" t="s">
        <v>29</v>
      </c>
    </row>
    <row r="43" spans="1:6" ht="20">
      <c r="A43" s="58" t="s">
        <v>1091</v>
      </c>
      <c r="B43" s="58" t="s">
        <v>1147</v>
      </c>
      <c r="C43" s="58" t="s">
        <v>28</v>
      </c>
      <c r="F43" s="58" t="s">
        <v>2154</v>
      </c>
    </row>
    <row r="44" spans="1:6" ht="20">
      <c r="A44" s="58" t="s">
        <v>1091</v>
      </c>
      <c r="B44" s="58" t="s">
        <v>1147</v>
      </c>
      <c r="C44" s="58" t="s">
        <v>28</v>
      </c>
      <c r="F44" s="58" t="s">
        <v>2151</v>
      </c>
    </row>
    <row r="45" spans="1:6" ht="23">
      <c r="A45" s="41" t="s">
        <v>1821</v>
      </c>
      <c r="B45" s="18" t="s">
        <v>1822</v>
      </c>
      <c r="C45" s="41" t="s">
        <v>28</v>
      </c>
    </row>
    <row r="46" spans="1:6" ht="20">
      <c r="A46" s="60" t="s">
        <v>1091</v>
      </c>
      <c r="B46" s="71" t="s">
        <v>1148</v>
      </c>
      <c r="C46" s="58" t="s">
        <v>28</v>
      </c>
      <c r="F46" s="19" t="s">
        <v>2152</v>
      </c>
    </row>
    <row r="47" spans="1:6" ht="20">
      <c r="A47" s="64" t="s">
        <v>752</v>
      </c>
      <c r="B47" s="64" t="s">
        <v>753</v>
      </c>
      <c r="C47" s="64" t="s">
        <v>29</v>
      </c>
    </row>
    <row r="48" spans="1:6" ht="20">
      <c r="A48" s="66" t="s">
        <v>5</v>
      </c>
      <c r="B48" s="66" t="s">
        <v>36</v>
      </c>
      <c r="C48" s="67" t="s">
        <v>28</v>
      </c>
    </row>
    <row r="49" spans="1:6" ht="20">
      <c r="A49" s="64" t="s">
        <v>752</v>
      </c>
      <c r="B49" s="64" t="s">
        <v>753</v>
      </c>
      <c r="C49" s="64" t="s">
        <v>29</v>
      </c>
      <c r="F49" s="64" t="s">
        <v>2150</v>
      </c>
    </row>
    <row r="50" spans="1:6" ht="20">
      <c r="A50" s="64" t="s">
        <v>754</v>
      </c>
      <c r="B50" s="64" t="s">
        <v>755</v>
      </c>
      <c r="C50" s="64" t="s">
        <v>29</v>
      </c>
    </row>
    <row r="51" spans="1:6" ht="20">
      <c r="A51" s="59" t="s">
        <v>60</v>
      </c>
      <c r="B51" s="59" t="s">
        <v>1040</v>
      </c>
      <c r="C51" s="58" t="s">
        <v>28</v>
      </c>
    </row>
    <row r="52" spans="1:6" ht="23">
      <c r="A52" s="18" t="s">
        <v>1808</v>
      </c>
      <c r="B52" s="61" t="s">
        <v>1809</v>
      </c>
      <c r="C52" s="58" t="s">
        <v>28</v>
      </c>
    </row>
    <row r="53" spans="1:6" ht="20">
      <c r="A53" s="58" t="s">
        <v>836</v>
      </c>
      <c r="B53" s="58" t="s">
        <v>931</v>
      </c>
      <c r="C53" s="58" t="s">
        <v>28</v>
      </c>
      <c r="F53" s="58" t="s">
        <v>2149</v>
      </c>
    </row>
    <row r="54" spans="1:6" ht="20">
      <c r="A54" s="58" t="s">
        <v>932</v>
      </c>
      <c r="B54" s="58" t="s">
        <v>933</v>
      </c>
      <c r="C54" s="58" t="s">
        <v>29</v>
      </c>
    </row>
    <row r="55" spans="1:6" ht="20">
      <c r="A55" s="58" t="s">
        <v>934</v>
      </c>
      <c r="B55" s="58" t="s">
        <v>935</v>
      </c>
      <c r="C55" s="58" t="s">
        <v>29</v>
      </c>
    </row>
    <row r="56" spans="1:6" ht="20">
      <c r="A56" s="58" t="s">
        <v>936</v>
      </c>
      <c r="B56" s="58" t="s">
        <v>937</v>
      </c>
      <c r="C56" s="58" t="s">
        <v>29</v>
      </c>
    </row>
    <row r="57" spans="1:6" ht="20">
      <c r="A57" s="58" t="s">
        <v>833</v>
      </c>
      <c r="B57" s="58" t="s">
        <v>938</v>
      </c>
      <c r="C57" s="58" t="s">
        <v>29</v>
      </c>
    </row>
    <row r="58" spans="1:6" ht="21">
      <c r="A58" s="60" t="s">
        <v>712</v>
      </c>
      <c r="B58" s="60" t="s">
        <v>713</v>
      </c>
      <c r="C58" s="58" t="s">
        <v>29</v>
      </c>
      <c r="F58" s="44" t="s">
        <v>2155</v>
      </c>
    </row>
    <row r="59" spans="1:6" ht="21">
      <c r="A59" s="62" t="s">
        <v>731</v>
      </c>
      <c r="B59" s="61" t="s">
        <v>732</v>
      </c>
      <c r="C59" s="58" t="s">
        <v>29</v>
      </c>
      <c r="F59" s="44"/>
    </row>
    <row r="60" spans="1:6" ht="21">
      <c r="A60" s="62" t="s">
        <v>733</v>
      </c>
      <c r="B60" s="59" t="s">
        <v>734</v>
      </c>
      <c r="C60" s="58" t="s">
        <v>29</v>
      </c>
      <c r="F60" s="44"/>
    </row>
    <row r="61" spans="1:6" ht="21">
      <c r="A61" s="62" t="s">
        <v>735</v>
      </c>
      <c r="B61" s="59" t="s">
        <v>736</v>
      </c>
      <c r="C61" s="58" t="s">
        <v>29</v>
      </c>
      <c r="F61" s="44"/>
    </row>
    <row r="62" spans="1:6" ht="21">
      <c r="A62" s="62" t="s">
        <v>737</v>
      </c>
      <c r="B62" s="61" t="s">
        <v>738</v>
      </c>
      <c r="C62" s="58" t="s">
        <v>29</v>
      </c>
      <c r="F62" s="44"/>
    </row>
    <row r="63" spans="1:6" ht="21">
      <c r="A63" s="62" t="s">
        <v>739</v>
      </c>
      <c r="B63" s="61" t="s">
        <v>740</v>
      </c>
      <c r="C63" s="58" t="s">
        <v>29</v>
      </c>
      <c r="F63" s="42"/>
    </row>
    <row r="64" spans="1:6" ht="21">
      <c r="A64" s="62" t="s">
        <v>741</v>
      </c>
      <c r="B64" s="61" t="s">
        <v>742</v>
      </c>
      <c r="C64" s="58" t="s">
        <v>29</v>
      </c>
      <c r="F64" s="42"/>
    </row>
    <row r="65" spans="1:6" ht="23">
      <c r="A65" s="18" t="s">
        <v>1813</v>
      </c>
      <c r="B65" s="41" t="s">
        <v>1814</v>
      </c>
      <c r="C65" s="41" t="s">
        <v>28</v>
      </c>
    </row>
    <row r="66" spans="1:6" ht="23">
      <c r="A66" s="41" t="s">
        <v>1089</v>
      </c>
      <c r="B66" s="18" t="s">
        <v>1815</v>
      </c>
      <c r="C66" s="41" t="s">
        <v>28</v>
      </c>
    </row>
    <row r="67" spans="1:6" ht="23">
      <c r="A67" s="41" t="s">
        <v>1747</v>
      </c>
      <c r="B67" s="18" t="s">
        <v>1823</v>
      </c>
      <c r="C67" s="41" t="s">
        <v>28</v>
      </c>
    </row>
    <row r="68" spans="1:6" ht="23">
      <c r="A68" s="41" t="s">
        <v>1811</v>
      </c>
      <c r="B68" s="18" t="s">
        <v>1816</v>
      </c>
      <c r="C68" s="41" t="s">
        <v>28</v>
      </c>
      <c r="F68" s="114" t="s">
        <v>2147</v>
      </c>
    </row>
    <row r="69" spans="1:6" ht="23">
      <c r="A69" s="41" t="s">
        <v>783</v>
      </c>
      <c r="B69" s="18" t="s">
        <v>1130</v>
      </c>
      <c r="C69" s="41" t="s">
        <v>29</v>
      </c>
      <c r="D69" s="113">
        <v>0.16704984220303845</v>
      </c>
    </row>
    <row r="70" spans="1:6" ht="23">
      <c r="A70" s="41" t="s">
        <v>1817</v>
      </c>
      <c r="B70" s="18" t="s">
        <v>1818</v>
      </c>
      <c r="C70" s="41" t="s">
        <v>28</v>
      </c>
      <c r="D70" s="113">
        <v>0.16472016547001223</v>
      </c>
    </row>
    <row r="71" spans="1:6" ht="23">
      <c r="A71" s="41" t="s">
        <v>895</v>
      </c>
      <c r="B71" s="18" t="s">
        <v>1819</v>
      </c>
      <c r="C71" s="41" t="s">
        <v>29</v>
      </c>
      <c r="D71" s="113">
        <v>0.13130447300794748</v>
      </c>
    </row>
    <row r="72" spans="1:6" ht="23">
      <c r="A72" s="41" t="s">
        <v>887</v>
      </c>
      <c r="B72" s="18" t="s">
        <v>1820</v>
      </c>
      <c r="C72" s="41" t="s">
        <v>28</v>
      </c>
      <c r="D72" s="113">
        <v>0.12835975016935944</v>
      </c>
    </row>
    <row r="73" spans="1:6" ht="20">
      <c r="A73" s="66" t="s">
        <v>5</v>
      </c>
      <c r="B73" s="66" t="s">
        <v>36</v>
      </c>
      <c r="C73" s="67" t="s">
        <v>28</v>
      </c>
      <c r="D73" s="113">
        <v>7.7703591279682252E-2</v>
      </c>
    </row>
    <row r="74" spans="1:6" ht="20">
      <c r="A74" s="58" t="s">
        <v>1110</v>
      </c>
      <c r="B74" s="59" t="s">
        <v>1111</v>
      </c>
      <c r="C74" s="58" t="s">
        <v>29</v>
      </c>
      <c r="D74" s="113">
        <v>6.0670620629888483E-2</v>
      </c>
      <c r="F74" s="19" t="s">
        <v>2148</v>
      </c>
    </row>
    <row r="75" spans="1:6" ht="20">
      <c r="A75" s="58" t="s">
        <v>1030</v>
      </c>
      <c r="B75" s="59" t="s">
        <v>1029</v>
      </c>
      <c r="C75" s="58" t="s">
        <v>29</v>
      </c>
      <c r="D75" s="113">
        <v>3.9894139947173002E-2</v>
      </c>
    </row>
    <row r="76" spans="1:6" ht="23">
      <c r="A76" s="18" t="s">
        <v>1808</v>
      </c>
      <c r="B76" s="61" t="s">
        <v>1809</v>
      </c>
      <c r="C76" s="58" t="s">
        <v>28</v>
      </c>
      <c r="D76" s="113">
        <v>2.3589264826718123E-2</v>
      </c>
    </row>
    <row r="77" spans="1:6" ht="20">
      <c r="A77" s="60" t="s">
        <v>712</v>
      </c>
      <c r="B77" s="60" t="s">
        <v>713</v>
      </c>
      <c r="C77" s="58" t="s">
        <v>29</v>
      </c>
      <c r="D77" s="113">
        <v>2.0314552151130188E-2</v>
      </c>
      <c r="F77" s="19" t="s">
        <v>2157</v>
      </c>
    </row>
    <row r="78" spans="1:6" ht="20">
      <c r="A78" s="60" t="s">
        <v>724</v>
      </c>
      <c r="B78" s="60" t="s">
        <v>2156</v>
      </c>
      <c r="C78" s="58" t="s">
        <v>29</v>
      </c>
      <c r="D78" s="113">
        <v>1.6407621305609223E-2</v>
      </c>
    </row>
    <row r="79" spans="1:6" ht="20">
      <c r="A79" s="60" t="s">
        <v>714</v>
      </c>
      <c r="B79" s="60" t="s">
        <v>715</v>
      </c>
      <c r="C79" s="58" t="s">
        <v>29</v>
      </c>
      <c r="D79" s="113">
        <v>7.9532416135215094E-3</v>
      </c>
    </row>
    <row r="80" spans="1:6" ht="20">
      <c r="A80" s="60" t="s">
        <v>716</v>
      </c>
      <c r="B80" s="60" t="s">
        <v>717</v>
      </c>
      <c r="C80" s="58" t="s">
        <v>29</v>
      </c>
    </row>
    <row r="81" spans="1:6" ht="20">
      <c r="A81" s="60" t="s">
        <v>722</v>
      </c>
      <c r="B81" s="60" t="s">
        <v>723</v>
      </c>
      <c r="C81" s="58" t="s">
        <v>29</v>
      </c>
    </row>
    <row r="82" spans="1:6" ht="20">
      <c r="A82" s="60" t="s">
        <v>718</v>
      </c>
      <c r="B82" s="60" t="s">
        <v>719</v>
      </c>
      <c r="C82" s="58" t="s">
        <v>29</v>
      </c>
    </row>
    <row r="83" spans="1:6" ht="20">
      <c r="A83" s="60" t="s">
        <v>720</v>
      </c>
      <c r="B83" s="60" t="s">
        <v>721</v>
      </c>
      <c r="C83" s="58" t="s">
        <v>29</v>
      </c>
    </row>
    <row r="84" spans="1:6" ht="20">
      <c r="A84" s="60" t="s">
        <v>712</v>
      </c>
      <c r="B84" s="60" t="s">
        <v>713</v>
      </c>
      <c r="C84" s="58" t="s">
        <v>29</v>
      </c>
      <c r="F84" s="19" t="s">
        <v>2158</v>
      </c>
    </row>
    <row r="85" spans="1:6" ht="20">
      <c r="A85" s="60" t="s">
        <v>724</v>
      </c>
      <c r="B85" s="60" t="s">
        <v>2156</v>
      </c>
      <c r="C85" s="58" t="s">
        <v>29</v>
      </c>
    </row>
    <row r="86" spans="1:6" ht="20">
      <c r="A86" s="60" t="s">
        <v>714</v>
      </c>
      <c r="B86" s="60" t="s">
        <v>715</v>
      </c>
      <c r="C86" s="58" t="s">
        <v>29</v>
      </c>
    </row>
    <row r="87" spans="1:6" ht="20">
      <c r="A87" s="60" t="s">
        <v>716</v>
      </c>
      <c r="B87" s="60" t="s">
        <v>717</v>
      </c>
      <c r="C87" s="58" t="s">
        <v>29</v>
      </c>
    </row>
    <row r="88" spans="1:6" ht="20">
      <c r="A88" s="60" t="s">
        <v>722</v>
      </c>
      <c r="B88" s="60" t="s">
        <v>723</v>
      </c>
      <c r="C88" s="58" t="s">
        <v>29</v>
      </c>
    </row>
    <row r="89" spans="1:6" ht="20">
      <c r="A89" s="60" t="s">
        <v>718</v>
      </c>
      <c r="B89" s="60" t="s">
        <v>719</v>
      </c>
      <c r="C89" s="58" t="s">
        <v>29</v>
      </c>
    </row>
    <row r="90" spans="1:6" ht="20">
      <c r="A90" s="60" t="s">
        <v>720</v>
      </c>
      <c r="B90" s="60" t="s">
        <v>721</v>
      </c>
      <c r="C90" s="58" t="s">
        <v>29</v>
      </c>
    </row>
    <row r="91" spans="1:6" ht="21">
      <c r="A91" s="33" t="s">
        <v>1146</v>
      </c>
      <c r="B91" s="33" t="s">
        <v>1856</v>
      </c>
      <c r="C91" s="41" t="s">
        <v>28</v>
      </c>
      <c r="F91" s="19" t="s">
        <v>2153</v>
      </c>
    </row>
    <row r="92" spans="1:6" ht="21">
      <c r="A92" s="33" t="s">
        <v>1091</v>
      </c>
      <c r="B92" s="33" t="s">
        <v>2084</v>
      </c>
      <c r="C92" s="41" t="s">
        <v>28</v>
      </c>
    </row>
    <row r="93" spans="1:6" ht="21">
      <c r="A93" s="33" t="s">
        <v>1090</v>
      </c>
      <c r="B93" s="33" t="s">
        <v>2085</v>
      </c>
      <c r="C93" s="41" t="s">
        <v>28</v>
      </c>
    </row>
    <row r="94" spans="1:6" ht="30">
      <c r="A94" s="33" t="s">
        <v>1760</v>
      </c>
      <c r="B94" s="108" t="s">
        <v>2123</v>
      </c>
      <c r="C94" s="41" t="s">
        <v>28</v>
      </c>
    </row>
    <row r="95" spans="1:6" ht="21">
      <c r="A95" s="33" t="s">
        <v>2097</v>
      </c>
      <c r="B95" s="33" t="s">
        <v>2086</v>
      </c>
      <c r="C95" s="41" t="s">
        <v>28</v>
      </c>
    </row>
    <row r="96" spans="1:6" ht="21">
      <c r="A96" s="33" t="s">
        <v>2090</v>
      </c>
      <c r="B96" s="33" t="s">
        <v>2087</v>
      </c>
      <c r="C96" s="41" t="s">
        <v>28</v>
      </c>
    </row>
    <row r="97" spans="1:6" ht="21">
      <c r="A97" s="33" t="s">
        <v>2091</v>
      </c>
      <c r="B97" s="33" t="s">
        <v>2088</v>
      </c>
      <c r="C97" s="41" t="s">
        <v>28</v>
      </c>
    </row>
    <row r="98" spans="1:6" ht="21">
      <c r="A98" s="33" t="s">
        <v>783</v>
      </c>
      <c r="B98" s="33" t="s">
        <v>2089</v>
      </c>
      <c r="C98" s="41" t="s">
        <v>29</v>
      </c>
    </row>
    <row r="99" spans="1:6" ht="32">
      <c r="A99" s="109" t="s">
        <v>2130</v>
      </c>
      <c r="B99" s="111" t="s">
        <v>2139</v>
      </c>
      <c r="C99" s="89" t="s">
        <v>28</v>
      </c>
      <c r="F99" s="19" t="s">
        <v>2159</v>
      </c>
    </row>
    <row r="100" spans="1:6" ht="32">
      <c r="A100" s="109" t="s">
        <v>2131</v>
      </c>
      <c r="B100" s="111" t="s">
        <v>2140</v>
      </c>
      <c r="C100" s="89" t="s">
        <v>28</v>
      </c>
    </row>
    <row r="101" spans="1:6" ht="21">
      <c r="A101" s="109" t="s">
        <v>2132</v>
      </c>
      <c r="B101" s="89" t="s">
        <v>1856</v>
      </c>
      <c r="C101" s="89" t="s">
        <v>28</v>
      </c>
    </row>
    <row r="102" spans="1:6" ht="21">
      <c r="A102" s="109" t="s">
        <v>2133</v>
      </c>
      <c r="B102" s="89" t="s">
        <v>2141</v>
      </c>
      <c r="C102" s="89" t="s">
        <v>28</v>
      </c>
    </row>
    <row r="103" spans="1:6" ht="21">
      <c r="A103" s="109" t="s">
        <v>2134</v>
      </c>
      <c r="B103" s="89" t="s">
        <v>2142</v>
      </c>
      <c r="C103" s="89" t="s">
        <v>28</v>
      </c>
    </row>
    <row r="104" spans="1:6" ht="21">
      <c r="A104" s="89" t="s">
        <v>1068</v>
      </c>
      <c r="B104" s="89" t="s">
        <v>1068</v>
      </c>
      <c r="C104" s="89" t="s">
        <v>29</v>
      </c>
    </row>
    <row r="105" spans="1:6" ht="21">
      <c r="A105" s="109" t="s">
        <v>2135</v>
      </c>
      <c r="B105" s="89" t="s">
        <v>2143</v>
      </c>
      <c r="C105" s="89" t="s">
        <v>28</v>
      </c>
    </row>
    <row r="106" spans="1:6" ht="21">
      <c r="A106" s="109" t="s">
        <v>2136</v>
      </c>
      <c r="B106" s="89" t="s">
        <v>2098</v>
      </c>
      <c r="C106" s="89" t="s">
        <v>28</v>
      </c>
    </row>
    <row r="107" spans="1:6" ht="32">
      <c r="A107" s="109" t="s">
        <v>1876</v>
      </c>
      <c r="B107" s="111" t="s">
        <v>2144</v>
      </c>
      <c r="C107" s="89" t="s">
        <v>28</v>
      </c>
    </row>
    <row r="108" spans="1:6" ht="21">
      <c r="A108" s="109" t="s">
        <v>2137</v>
      </c>
      <c r="B108" s="89" t="s">
        <v>2145</v>
      </c>
      <c r="C108" s="89" t="s">
        <v>28</v>
      </c>
    </row>
    <row r="109" spans="1:6" ht="21">
      <c r="A109" s="109" t="s">
        <v>2138</v>
      </c>
      <c r="B109" s="89" t="s">
        <v>2146</v>
      </c>
      <c r="C109" s="89" t="s">
        <v>28</v>
      </c>
    </row>
  </sheetData>
  <hyperlinks>
    <hyperlink ref="A58" r:id="rId1" display="https://www.lazyportfolioetf.com/etf/vanguard-total-stock-market-vti/" xr:uid="{8435635D-E3DC-7D44-9B73-FDE13A40374D}"/>
    <hyperlink ref="B58" r:id="rId2" display="https://www.lazyportfolioetf.com/etf/vanguard-total-stock-market-vti/" xr:uid="{B10958D5-CD44-4D49-A334-0023D5EA80FD}"/>
    <hyperlink ref="A79" r:id="rId3" display="https://www.lazyportfolioetf.com/etf/ishares-20-year-treasury-bond/" xr:uid="{FEC3BACA-6817-F745-9341-A82FE801FBD2}"/>
    <hyperlink ref="B79" r:id="rId4" display="https://www.lazyportfolioetf.com/etf/ishares-20-year-treasury-bond/" xr:uid="{863EE9CD-F8C7-DD42-A34A-C3AB0CA462D2}"/>
    <hyperlink ref="A80" r:id="rId5" display="https://www.lazyportfolioetf.com/etf/ishares-3-7-year-treasury-bond-iei/" xr:uid="{F6A5635B-DE27-864F-9673-241EB73F693E}"/>
    <hyperlink ref="B80" r:id="rId6" display="https://www.lazyportfolioetf.com/etf/ishares-3-7-year-treasury-bond-iei/" xr:uid="{40F92942-2BB2-134B-9784-C97BA3157982}"/>
    <hyperlink ref="A82" r:id="rId7" display="https://www.lazyportfolioetf.com/etf/spdr-gold-trust-gld/" xr:uid="{54A93C50-9AD7-D64C-A44C-2DE60ADD3E12}"/>
    <hyperlink ref="B82" r:id="rId8" display="https://www.lazyportfolioetf.com/etf/spdr-gold-trust-gld/" xr:uid="{E769C5FD-39C0-D541-A9AA-60169C0BE96D}"/>
    <hyperlink ref="A83" r:id="rId9" display="https://www.lazyportfolioetf.com/etf/ishares-sp-gsci-commodity-indexed-trust-gsg/" xr:uid="{17F21C32-E306-314A-8482-CD3065C4F56C}"/>
    <hyperlink ref="B83" r:id="rId10" display="https://www.lazyportfolioetf.com/etf/ishares-sp-gsci-commodity-indexed-trust-gsg/" xr:uid="{9ACA494A-4370-C54D-AFDB-ED26FC8145C5}"/>
    <hyperlink ref="B81" r:id="rId11" display="https://www.lazyportfolioetf.com/etf/ishares-1-3-year-treasury-bond-shy/" xr:uid="{ED43B0B4-AD89-0E4A-AB31-188CF91DD311}"/>
    <hyperlink ref="A77" r:id="rId12" display="https://www.lazyportfolioetf.com/etf/vanguard-total-stock-market-vti/" xr:uid="{785A088B-8E61-7647-AA4B-54B4C0FC125B}"/>
    <hyperlink ref="B77" r:id="rId13" display="https://www.lazyportfolioetf.com/etf/vanguard-total-stock-market-vti/" xr:uid="{73F153D7-8ED5-544E-A370-8155E019949B}"/>
    <hyperlink ref="A86" r:id="rId14" display="https://www.lazyportfolioetf.com/etf/ishares-20-year-treasury-bond/" xr:uid="{781791A4-9506-6242-8C5A-6A4EE8EABFB0}"/>
    <hyperlink ref="B86" r:id="rId15" display="https://www.lazyportfolioetf.com/etf/ishares-20-year-treasury-bond/" xr:uid="{4E8292BC-8B2A-1642-A601-C8C5236DFCED}"/>
    <hyperlink ref="A87" r:id="rId16" display="https://www.lazyportfolioetf.com/etf/ishares-3-7-year-treasury-bond-iei/" xr:uid="{2C099A92-189C-D642-80E8-32660AAC5BC1}"/>
    <hyperlink ref="B87" r:id="rId17" display="https://www.lazyportfolioetf.com/etf/ishares-3-7-year-treasury-bond-iei/" xr:uid="{446AD5E8-5CCD-9E46-9848-CD64B49A7A9F}"/>
    <hyperlink ref="A89" r:id="rId18" display="https://www.lazyportfolioetf.com/etf/spdr-gold-trust-gld/" xr:uid="{6C6C0900-0B37-A440-8A38-5BD1040C48DB}"/>
    <hyperlink ref="B89" r:id="rId19" display="https://www.lazyportfolioetf.com/etf/spdr-gold-trust-gld/" xr:uid="{3E593DF8-D547-8B49-B22F-CD942AD52C2B}"/>
    <hyperlink ref="A90" r:id="rId20" display="https://www.lazyportfolioetf.com/etf/ishares-sp-gsci-commodity-indexed-trust-gsg/" xr:uid="{EEB9C648-E2BC-FC4F-9058-39405D1D9265}"/>
    <hyperlink ref="B90" r:id="rId21" display="https://www.lazyportfolioetf.com/etf/ishares-sp-gsci-commodity-indexed-trust-gsg/" xr:uid="{916B0060-1D54-E84C-A490-0D7D3DA13280}"/>
    <hyperlink ref="B88" r:id="rId22" display="https://www.lazyportfolioetf.com/etf/ishares-1-3-year-treasury-bond-shy/" xr:uid="{575D3907-D820-FD4F-B409-E6AF8A23A827}"/>
    <hyperlink ref="A84" r:id="rId23" display="https://www.lazyportfolioetf.com/etf/vanguard-total-stock-market-vti/" xr:uid="{1AF74357-7BC1-4543-B0E5-1FC0DE03A49D}"/>
    <hyperlink ref="B84" r:id="rId24" display="https://www.lazyportfolioetf.com/etf/vanguard-total-stock-market-vti/" xr:uid="{F17802E8-0C1C-4843-B6DC-E1E4027ADFBA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874C-6BB4-6940-9603-39AD56722087}">
  <dimension ref="A1:R383"/>
  <sheetViews>
    <sheetView topLeftCell="A353" zoomScale="125" workbookViewId="0">
      <selection activeCell="A360" sqref="A360:XFD362"/>
    </sheetView>
  </sheetViews>
  <sheetFormatPr baseColWidth="10" defaultRowHeight="21"/>
  <cols>
    <col min="1" max="1" width="23.1640625" style="41" customWidth="1"/>
    <col min="2" max="2" width="65.33203125" style="41" customWidth="1"/>
    <col min="3" max="3" width="23.1640625" style="41" customWidth="1"/>
    <col min="4" max="4" width="26.6640625" style="42" customWidth="1"/>
    <col min="5" max="5" width="12.5" style="42" bestFit="1" customWidth="1"/>
    <col min="6" max="6" width="10.83203125" style="42"/>
    <col min="7" max="7" width="22.1640625" style="42" customWidth="1"/>
    <col min="8" max="10" width="22.6640625" style="42" bestFit="1" customWidth="1"/>
    <col min="11" max="11" width="22.6640625" style="42" customWidth="1"/>
    <col min="12" max="12" width="20.1640625" style="42" customWidth="1"/>
    <col min="13" max="13" width="21.33203125" style="42" customWidth="1"/>
    <col min="14" max="14" width="13.5" style="42" bestFit="1" customWidth="1"/>
    <col min="15" max="16384" width="10.83203125" style="42"/>
  </cols>
  <sheetData>
    <row r="1" spans="1:17">
      <c r="A1" s="57" t="s">
        <v>2120</v>
      </c>
      <c r="B1" s="57" t="s">
        <v>2121</v>
      </c>
      <c r="C1" s="58" t="s">
        <v>2122</v>
      </c>
    </row>
    <row r="2" spans="1:17">
      <c r="A2" s="59" t="s">
        <v>60</v>
      </c>
      <c r="B2" s="59" t="s">
        <v>1040</v>
      </c>
      <c r="C2" s="58" t="s">
        <v>28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7">
      <c r="A3" s="60" t="s">
        <v>724</v>
      </c>
      <c r="B3" s="60" t="s">
        <v>725</v>
      </c>
      <c r="C3" s="58" t="s">
        <v>29</v>
      </c>
      <c r="E3" s="41"/>
      <c r="F3" s="44"/>
      <c r="G3" s="44"/>
      <c r="H3" s="44"/>
      <c r="I3" s="44"/>
      <c r="J3" s="44"/>
      <c r="K3" s="44"/>
      <c r="L3" s="45"/>
      <c r="M3" s="45"/>
      <c r="N3" s="44"/>
      <c r="O3" s="44"/>
      <c r="P3" s="44"/>
      <c r="Q3" s="44"/>
    </row>
    <row r="4" spans="1:17">
      <c r="A4" s="60" t="s">
        <v>714</v>
      </c>
      <c r="B4" s="60" t="s">
        <v>715</v>
      </c>
      <c r="C4" s="58" t="s">
        <v>29</v>
      </c>
      <c r="E4" s="41"/>
      <c r="F4" s="44"/>
      <c r="G4" s="44"/>
      <c r="H4" s="44"/>
      <c r="I4" s="44"/>
      <c r="J4" s="44"/>
      <c r="K4" s="44"/>
      <c r="L4" s="45"/>
      <c r="M4" s="45"/>
      <c r="N4" s="44"/>
      <c r="O4" s="44"/>
      <c r="P4" s="44"/>
      <c r="Q4" s="44"/>
    </row>
    <row r="5" spans="1:17">
      <c r="A5" s="60" t="s">
        <v>716</v>
      </c>
      <c r="B5" s="60" t="s">
        <v>717</v>
      </c>
      <c r="C5" s="58" t="s">
        <v>29</v>
      </c>
      <c r="E5" s="41"/>
      <c r="F5" s="44"/>
      <c r="G5" s="44"/>
      <c r="H5" s="44"/>
      <c r="I5" s="44"/>
      <c r="J5" s="44"/>
      <c r="K5" s="44"/>
      <c r="L5" s="45"/>
      <c r="M5" s="45"/>
      <c r="N5" s="44"/>
      <c r="O5" s="44"/>
      <c r="P5" s="44"/>
      <c r="Q5" s="44"/>
    </row>
    <row r="6" spans="1:17">
      <c r="A6" s="60" t="s">
        <v>722</v>
      </c>
      <c r="B6" s="60" t="s">
        <v>723</v>
      </c>
      <c r="C6" s="58" t="s">
        <v>29</v>
      </c>
      <c r="E6" s="41"/>
      <c r="F6" s="44"/>
      <c r="G6" s="44"/>
      <c r="H6" s="44"/>
      <c r="I6" s="44"/>
      <c r="J6" s="44"/>
      <c r="K6" s="44"/>
      <c r="L6" s="45"/>
      <c r="M6" s="45"/>
      <c r="N6" s="44"/>
      <c r="O6" s="44"/>
      <c r="P6" s="44"/>
      <c r="Q6" s="44"/>
    </row>
    <row r="7" spans="1:17">
      <c r="A7" s="60" t="s">
        <v>718</v>
      </c>
      <c r="B7" s="60" t="s">
        <v>719</v>
      </c>
      <c r="C7" s="58" t="s">
        <v>29</v>
      </c>
      <c r="E7" s="41"/>
      <c r="F7" s="44"/>
      <c r="G7" s="44"/>
      <c r="H7" s="44"/>
      <c r="I7" s="44"/>
      <c r="J7" s="44"/>
      <c r="K7" s="44"/>
      <c r="L7" s="45"/>
      <c r="M7" s="45"/>
      <c r="N7" s="44"/>
      <c r="O7" s="44"/>
      <c r="P7" s="44"/>
      <c r="Q7" s="44"/>
    </row>
    <row r="8" spans="1:17">
      <c r="A8" s="60" t="s">
        <v>720</v>
      </c>
      <c r="B8" s="60" t="s">
        <v>721</v>
      </c>
      <c r="C8" s="58" t="s">
        <v>29</v>
      </c>
      <c r="E8" s="41"/>
      <c r="F8" s="44"/>
      <c r="G8" s="44"/>
      <c r="H8" s="44"/>
      <c r="I8" s="44"/>
      <c r="J8" s="44"/>
      <c r="K8" s="44"/>
      <c r="L8" s="45"/>
      <c r="M8" s="45"/>
      <c r="N8" s="44"/>
      <c r="O8" s="44"/>
      <c r="P8" s="44"/>
      <c r="Q8" s="44"/>
    </row>
    <row r="9" spans="1:17" ht="23">
      <c r="A9" s="18" t="s">
        <v>1808</v>
      </c>
      <c r="B9" s="61" t="s">
        <v>1809</v>
      </c>
      <c r="C9" s="58" t="s">
        <v>28</v>
      </c>
      <c r="F9" s="44"/>
      <c r="G9" s="44"/>
      <c r="H9" s="44"/>
      <c r="I9" s="44"/>
      <c r="J9" s="44"/>
      <c r="K9" s="44"/>
      <c r="L9" s="45"/>
      <c r="M9" s="45"/>
      <c r="N9" s="44"/>
      <c r="O9" s="44"/>
      <c r="P9" s="44"/>
      <c r="Q9" s="44"/>
    </row>
    <row r="10" spans="1:17" ht="23">
      <c r="A10" s="18" t="s">
        <v>1808</v>
      </c>
      <c r="B10" s="61" t="s">
        <v>1809</v>
      </c>
      <c r="C10" s="58" t="s">
        <v>28</v>
      </c>
      <c r="F10" s="44"/>
      <c r="G10" s="44"/>
      <c r="H10" s="44"/>
      <c r="I10" s="44"/>
      <c r="J10" s="44"/>
      <c r="K10" s="44"/>
      <c r="L10" s="44"/>
    </row>
    <row r="11" spans="1:17" ht="23">
      <c r="A11" s="18" t="s">
        <v>1808</v>
      </c>
      <c r="B11" s="61" t="s">
        <v>1809</v>
      </c>
      <c r="C11" s="58" t="s">
        <v>28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</row>
    <row r="12" spans="1:17">
      <c r="A12" s="58" t="s">
        <v>727</v>
      </c>
      <c r="B12" s="61" t="s">
        <v>728</v>
      </c>
      <c r="C12" s="58" t="s">
        <v>28</v>
      </c>
      <c r="F12" s="44"/>
      <c r="G12" s="44"/>
      <c r="H12" s="44"/>
      <c r="I12" s="44"/>
      <c r="J12" s="44"/>
      <c r="K12" s="44"/>
      <c r="L12" s="45"/>
      <c r="M12" s="45"/>
      <c r="N12" s="44"/>
      <c r="O12" s="44"/>
      <c r="P12" s="44"/>
      <c r="Q12" s="44"/>
    </row>
    <row r="13" spans="1:17">
      <c r="A13" s="58" t="s">
        <v>729</v>
      </c>
      <c r="B13" s="59" t="s">
        <v>730</v>
      </c>
      <c r="C13" s="58" t="s">
        <v>28</v>
      </c>
      <c r="F13" s="44"/>
      <c r="G13" s="44"/>
      <c r="H13" s="44"/>
      <c r="I13" s="44"/>
      <c r="J13" s="44"/>
      <c r="K13" s="44"/>
      <c r="L13" s="45"/>
      <c r="M13" s="45"/>
      <c r="N13" s="44"/>
      <c r="O13" s="44"/>
      <c r="P13" s="44"/>
      <c r="Q13" s="44"/>
    </row>
    <row r="14" spans="1:17">
      <c r="A14" s="60" t="s">
        <v>712</v>
      </c>
      <c r="B14" s="60" t="s">
        <v>713</v>
      </c>
      <c r="C14" s="58" t="s">
        <v>29</v>
      </c>
      <c r="F14" s="44"/>
      <c r="G14" s="44"/>
      <c r="H14" s="44"/>
      <c r="I14" s="44"/>
      <c r="J14" s="44"/>
      <c r="K14" s="44"/>
      <c r="L14" s="45"/>
      <c r="M14" s="45"/>
      <c r="N14" s="44"/>
      <c r="O14" s="44"/>
      <c r="P14" s="44"/>
      <c r="Q14" s="44"/>
    </row>
    <row r="15" spans="1:17">
      <c r="A15" s="62" t="s">
        <v>731</v>
      </c>
      <c r="B15" s="61" t="s">
        <v>732</v>
      </c>
      <c r="C15" s="58" t="s">
        <v>29</v>
      </c>
      <c r="E15" s="46"/>
      <c r="F15" s="44"/>
      <c r="G15" s="44"/>
      <c r="H15" s="44"/>
      <c r="I15" s="44"/>
      <c r="J15" s="44"/>
      <c r="K15" s="44"/>
      <c r="L15" s="45"/>
      <c r="M15" s="45"/>
      <c r="N15" s="44"/>
      <c r="O15" s="44"/>
      <c r="P15" s="44"/>
      <c r="Q15" s="44"/>
    </row>
    <row r="16" spans="1:17">
      <c r="A16" s="62" t="s">
        <v>733</v>
      </c>
      <c r="B16" s="59" t="s">
        <v>734</v>
      </c>
      <c r="C16" s="58" t="s">
        <v>29</v>
      </c>
      <c r="E16" s="46"/>
      <c r="F16" s="44"/>
      <c r="G16" s="44"/>
      <c r="H16" s="44"/>
      <c r="I16" s="44"/>
      <c r="J16" s="44"/>
      <c r="K16" s="44"/>
      <c r="L16" s="45"/>
      <c r="M16" s="45"/>
      <c r="N16" s="44"/>
      <c r="O16" s="44"/>
      <c r="P16" s="44"/>
      <c r="Q16" s="44"/>
    </row>
    <row r="17" spans="1:17">
      <c r="A17" s="62" t="s">
        <v>735</v>
      </c>
      <c r="B17" s="59" t="s">
        <v>736</v>
      </c>
      <c r="C17" s="58" t="s">
        <v>29</v>
      </c>
      <c r="E17" s="46"/>
      <c r="F17" s="44"/>
      <c r="G17" s="44"/>
      <c r="H17" s="44"/>
      <c r="I17" s="44"/>
      <c r="J17" s="44"/>
      <c r="K17" s="44"/>
      <c r="L17" s="45"/>
      <c r="M17" s="45"/>
      <c r="N17" s="44"/>
      <c r="O17" s="44"/>
      <c r="P17" s="44"/>
      <c r="Q17" s="44"/>
    </row>
    <row r="18" spans="1:17">
      <c r="A18" s="62" t="s">
        <v>737</v>
      </c>
      <c r="B18" s="61" t="s">
        <v>738</v>
      </c>
      <c r="C18" s="58" t="s">
        <v>29</v>
      </c>
      <c r="E18" s="46"/>
      <c r="F18" s="44"/>
      <c r="G18" s="44"/>
      <c r="H18" s="44"/>
      <c r="I18" s="44"/>
      <c r="J18" s="44"/>
      <c r="K18" s="44"/>
      <c r="L18" s="45"/>
      <c r="M18" s="45"/>
      <c r="N18" s="44"/>
      <c r="O18" s="44"/>
      <c r="P18" s="44"/>
      <c r="Q18" s="44"/>
    </row>
    <row r="19" spans="1:17">
      <c r="A19" s="62" t="s">
        <v>739</v>
      </c>
      <c r="B19" s="61" t="s">
        <v>740</v>
      </c>
      <c r="C19" s="58" t="s">
        <v>29</v>
      </c>
      <c r="N19" s="44"/>
      <c r="O19" s="44"/>
      <c r="P19" s="44"/>
      <c r="Q19" s="44"/>
    </row>
    <row r="20" spans="1:17">
      <c r="A20" s="62" t="s">
        <v>741</v>
      </c>
      <c r="B20" s="61" t="s">
        <v>742</v>
      </c>
      <c r="C20" s="58" t="s">
        <v>29</v>
      </c>
      <c r="N20" s="44"/>
      <c r="O20" s="44"/>
      <c r="P20" s="44"/>
      <c r="Q20" s="44"/>
    </row>
    <row r="21" spans="1:17">
      <c r="A21" s="62" t="s">
        <v>743</v>
      </c>
      <c r="B21" s="61" t="s">
        <v>743</v>
      </c>
      <c r="C21" s="58" t="s">
        <v>29</v>
      </c>
    </row>
    <row r="22" spans="1:17">
      <c r="A22" s="62" t="s">
        <v>744</v>
      </c>
      <c r="B22" s="61" t="s">
        <v>745</v>
      </c>
      <c r="C22" s="58" t="s">
        <v>29</v>
      </c>
      <c r="N22" s="43"/>
      <c r="O22" s="43"/>
      <c r="P22" s="43"/>
      <c r="Q22" s="43"/>
    </row>
    <row r="23" spans="1:17">
      <c r="A23" s="63" t="s">
        <v>746</v>
      </c>
      <c r="B23" s="59" t="s">
        <v>747</v>
      </c>
      <c r="C23" s="58" t="s">
        <v>29</v>
      </c>
      <c r="N23" s="44"/>
      <c r="O23" s="44"/>
      <c r="P23" s="44"/>
      <c r="Q23" s="44"/>
    </row>
    <row r="24" spans="1:17">
      <c r="A24" s="64" t="s">
        <v>748</v>
      </c>
      <c r="B24" s="64" t="s">
        <v>749</v>
      </c>
      <c r="C24" s="64" t="s">
        <v>29</v>
      </c>
      <c r="N24" s="44"/>
      <c r="O24" s="44"/>
      <c r="P24" s="44"/>
      <c r="Q24" s="44"/>
    </row>
    <row r="25" spans="1:17">
      <c r="A25" s="64" t="s">
        <v>750</v>
      </c>
      <c r="B25" s="64" t="s">
        <v>751</v>
      </c>
      <c r="C25" s="64" t="s">
        <v>29</v>
      </c>
      <c r="N25" s="44"/>
      <c r="O25" s="44"/>
      <c r="P25" s="44"/>
      <c r="Q25" s="44"/>
    </row>
    <row r="26" spans="1:17">
      <c r="A26" s="64" t="s">
        <v>752</v>
      </c>
      <c r="B26" s="64" t="s">
        <v>753</v>
      </c>
      <c r="C26" s="64" t="s">
        <v>29</v>
      </c>
      <c r="N26" s="44"/>
      <c r="O26" s="44"/>
      <c r="P26" s="44"/>
      <c r="Q26" s="44"/>
    </row>
    <row r="27" spans="1:17">
      <c r="A27" s="64" t="s">
        <v>754</v>
      </c>
      <c r="B27" s="64" t="s">
        <v>755</v>
      </c>
      <c r="C27" s="64" t="s">
        <v>29</v>
      </c>
      <c r="N27" s="44"/>
      <c r="O27" s="44"/>
      <c r="P27" s="44"/>
      <c r="Q27" s="44"/>
    </row>
    <row r="28" spans="1:17">
      <c r="A28" s="64" t="s">
        <v>756</v>
      </c>
      <c r="B28" s="59" t="s">
        <v>757</v>
      </c>
      <c r="C28" s="64" t="s">
        <v>29</v>
      </c>
      <c r="N28" s="44"/>
      <c r="O28" s="44"/>
      <c r="P28" s="44"/>
      <c r="Q28" s="44"/>
    </row>
    <row r="29" spans="1:17">
      <c r="A29" s="64" t="s">
        <v>758</v>
      </c>
      <c r="B29" s="59" t="s">
        <v>759</v>
      </c>
      <c r="C29" s="64" t="s">
        <v>29</v>
      </c>
      <c r="N29" s="44"/>
      <c r="O29" s="44"/>
      <c r="P29" s="44"/>
      <c r="Q29" s="44"/>
    </row>
    <row r="30" spans="1:17">
      <c r="A30" s="64" t="s">
        <v>760</v>
      </c>
      <c r="B30" s="64" t="s">
        <v>761</v>
      </c>
      <c r="C30" s="64" t="s">
        <v>29</v>
      </c>
      <c r="N30" s="44"/>
      <c r="O30" s="44"/>
      <c r="P30" s="44"/>
      <c r="Q30" s="44"/>
    </row>
    <row r="31" spans="1:17">
      <c r="A31" s="64" t="s">
        <v>762</v>
      </c>
      <c r="B31" s="59" t="s">
        <v>763</v>
      </c>
      <c r="C31" s="64" t="s">
        <v>29</v>
      </c>
      <c r="N31" s="44"/>
      <c r="O31" s="44"/>
      <c r="P31" s="44"/>
      <c r="Q31" s="44"/>
    </row>
    <row r="32" spans="1:17">
      <c r="A32" s="64" t="s">
        <v>764</v>
      </c>
      <c r="B32" s="64" t="s">
        <v>765</v>
      </c>
      <c r="C32" s="64" t="s">
        <v>29</v>
      </c>
    </row>
    <row r="33" spans="1:17">
      <c r="A33" s="64" t="s">
        <v>766</v>
      </c>
      <c r="B33" s="64" t="s">
        <v>767</v>
      </c>
      <c r="C33" s="64" t="s">
        <v>29</v>
      </c>
    </row>
    <row r="34" spans="1:17">
      <c r="A34" s="64" t="s">
        <v>768</v>
      </c>
      <c r="B34" s="64" t="s">
        <v>769</v>
      </c>
      <c r="C34" s="64" t="s">
        <v>29</v>
      </c>
      <c r="N34" s="43"/>
      <c r="O34" s="43"/>
      <c r="P34" s="43"/>
      <c r="Q34" s="43"/>
    </row>
    <row r="35" spans="1:17">
      <c r="A35" s="64" t="s">
        <v>770</v>
      </c>
      <c r="B35" s="64" t="s">
        <v>771</v>
      </c>
      <c r="C35" s="64" t="s">
        <v>29</v>
      </c>
      <c r="N35" s="44"/>
      <c r="O35" s="44"/>
      <c r="P35" s="44"/>
      <c r="Q35" s="44"/>
    </row>
    <row r="36" spans="1:17">
      <c r="A36" s="64" t="s">
        <v>772</v>
      </c>
      <c r="B36" s="64" t="s">
        <v>773</v>
      </c>
      <c r="C36" s="64" t="s">
        <v>29</v>
      </c>
      <c r="N36" s="44"/>
      <c r="O36" s="44"/>
      <c r="P36" s="44"/>
      <c r="Q36" s="44"/>
    </row>
    <row r="37" spans="1:17">
      <c r="A37" s="64" t="s">
        <v>774</v>
      </c>
      <c r="B37" s="59" t="s">
        <v>775</v>
      </c>
      <c r="C37" s="64" t="s">
        <v>29</v>
      </c>
      <c r="N37" s="47"/>
      <c r="O37" s="44"/>
      <c r="P37" s="44"/>
      <c r="Q37" s="44"/>
    </row>
    <row r="38" spans="1:17">
      <c r="A38" s="64" t="s">
        <v>776</v>
      </c>
      <c r="B38" s="59" t="s">
        <v>777</v>
      </c>
      <c r="C38" s="64" t="s">
        <v>29</v>
      </c>
      <c r="N38" s="44"/>
      <c r="O38" s="44"/>
      <c r="P38" s="44"/>
      <c r="Q38" s="44"/>
    </row>
    <row r="39" spans="1:17">
      <c r="A39" s="64" t="s">
        <v>778</v>
      </c>
      <c r="B39" s="59" t="s">
        <v>779</v>
      </c>
      <c r="C39" s="64" t="s">
        <v>29</v>
      </c>
      <c r="N39" s="44"/>
      <c r="O39" s="44"/>
      <c r="P39" s="44"/>
      <c r="Q39" s="44"/>
    </row>
    <row r="40" spans="1:17">
      <c r="A40" s="59" t="s">
        <v>780</v>
      </c>
      <c r="B40" s="59" t="s">
        <v>781</v>
      </c>
      <c r="C40" s="64" t="s">
        <v>29</v>
      </c>
      <c r="N40" s="44"/>
      <c r="O40" s="44"/>
      <c r="P40" s="44"/>
      <c r="Q40" s="44"/>
    </row>
    <row r="41" spans="1:17">
      <c r="A41" s="59" t="s">
        <v>1101</v>
      </c>
      <c r="B41" s="59" t="s">
        <v>782</v>
      </c>
      <c r="C41" s="64" t="s">
        <v>28</v>
      </c>
      <c r="N41" s="44"/>
      <c r="O41" s="44"/>
      <c r="P41" s="44"/>
      <c r="Q41" s="44"/>
    </row>
    <row r="42" spans="1:17" ht="23">
      <c r="A42" s="18" t="s">
        <v>1810</v>
      </c>
      <c r="B42" s="65" t="s">
        <v>791</v>
      </c>
      <c r="C42" s="65" t="s">
        <v>29</v>
      </c>
      <c r="N42" s="44"/>
      <c r="O42" s="44"/>
      <c r="P42" s="44"/>
      <c r="Q42" s="44"/>
    </row>
    <row r="43" spans="1:17">
      <c r="A43" s="66" t="s">
        <v>5</v>
      </c>
      <c r="B43" s="66" t="s">
        <v>36</v>
      </c>
      <c r="C43" s="67" t="s">
        <v>28</v>
      </c>
      <c r="N43" s="44"/>
      <c r="O43" s="44"/>
      <c r="P43" s="44"/>
      <c r="Q43" s="44"/>
    </row>
    <row r="44" spans="1:17">
      <c r="A44" s="68" t="s">
        <v>6</v>
      </c>
      <c r="B44" s="68" t="s">
        <v>37</v>
      </c>
      <c r="C44" s="69" t="s">
        <v>28</v>
      </c>
    </row>
    <row r="45" spans="1:17">
      <c r="A45" s="68" t="s">
        <v>7</v>
      </c>
      <c r="B45" s="68" t="s">
        <v>38</v>
      </c>
      <c r="C45" s="69" t="s">
        <v>28</v>
      </c>
    </row>
    <row r="46" spans="1:17">
      <c r="A46" s="68" t="s">
        <v>8</v>
      </c>
      <c r="B46" s="68" t="s">
        <v>39</v>
      </c>
      <c r="C46" s="69" t="s">
        <v>28</v>
      </c>
    </row>
    <row r="47" spans="1:17">
      <c r="A47" s="68" t="s">
        <v>9</v>
      </c>
      <c r="B47" s="68" t="s">
        <v>40</v>
      </c>
      <c r="C47" s="69" t="s">
        <v>28</v>
      </c>
    </row>
    <row r="48" spans="1:17">
      <c r="A48" s="68" t="s">
        <v>10</v>
      </c>
      <c r="B48" s="68" t="s">
        <v>41</v>
      </c>
      <c r="C48" s="69" t="s">
        <v>28</v>
      </c>
    </row>
    <row r="49" spans="1:3">
      <c r="A49" s="68" t="s">
        <v>11</v>
      </c>
      <c r="B49" s="68" t="s">
        <v>42</v>
      </c>
      <c r="C49" s="69" t="s">
        <v>28</v>
      </c>
    </row>
    <row r="50" spans="1:3">
      <c r="A50" s="68" t="s">
        <v>12</v>
      </c>
      <c r="B50" s="68" t="s">
        <v>43</v>
      </c>
      <c r="C50" s="69" t="s">
        <v>28</v>
      </c>
    </row>
    <row r="51" spans="1:3">
      <c r="A51" s="68" t="s">
        <v>13</v>
      </c>
      <c r="B51" s="68" t="s">
        <v>44</v>
      </c>
      <c r="C51" s="69" t="s">
        <v>28</v>
      </c>
    </row>
    <row r="52" spans="1:3">
      <c r="A52" s="68" t="s">
        <v>14</v>
      </c>
      <c r="B52" s="68" t="s">
        <v>45</v>
      </c>
      <c r="C52" s="69" t="s">
        <v>28</v>
      </c>
    </row>
    <row r="53" spans="1:3">
      <c r="A53" s="65" t="s">
        <v>792</v>
      </c>
      <c r="B53" s="59" t="s">
        <v>793</v>
      </c>
      <c r="C53" s="70" t="s">
        <v>28</v>
      </c>
    </row>
    <row r="54" spans="1:3">
      <c r="A54" s="64" t="s">
        <v>783</v>
      </c>
      <c r="B54" s="59" t="s">
        <v>784</v>
      </c>
      <c r="C54" s="64" t="s">
        <v>29</v>
      </c>
    </row>
    <row r="55" spans="1:3">
      <c r="A55" s="64" t="s">
        <v>785</v>
      </c>
      <c r="B55" s="64" t="s">
        <v>786</v>
      </c>
      <c r="C55" s="64" t="s">
        <v>29</v>
      </c>
    </row>
    <row r="56" spans="1:3">
      <c r="A56" s="64" t="s">
        <v>787</v>
      </c>
      <c r="B56" s="64" t="s">
        <v>788</v>
      </c>
      <c r="C56" s="64" t="s">
        <v>29</v>
      </c>
    </row>
    <row r="57" spans="1:3">
      <c r="A57" s="64" t="s">
        <v>789</v>
      </c>
      <c r="B57" s="59" t="s">
        <v>790</v>
      </c>
      <c r="C57" s="64" t="s">
        <v>29</v>
      </c>
    </row>
    <row r="58" spans="1:3">
      <c r="A58" s="59" t="s">
        <v>794</v>
      </c>
      <c r="B58" s="71" t="s">
        <v>795</v>
      </c>
      <c r="C58" s="58" t="s">
        <v>29</v>
      </c>
    </row>
    <row r="59" spans="1:3">
      <c r="A59" s="59" t="s">
        <v>796</v>
      </c>
      <c r="B59" s="72" t="s">
        <v>797</v>
      </c>
      <c r="C59" s="58" t="s">
        <v>28</v>
      </c>
    </row>
    <row r="60" spans="1:3">
      <c r="A60" s="60" t="s">
        <v>1091</v>
      </c>
      <c r="B60" s="71" t="s">
        <v>1148</v>
      </c>
      <c r="C60" s="58" t="s">
        <v>28</v>
      </c>
    </row>
    <row r="61" spans="1:3">
      <c r="A61" s="62" t="s">
        <v>798</v>
      </c>
      <c r="B61" s="72" t="s">
        <v>799</v>
      </c>
      <c r="C61" s="58" t="s">
        <v>29</v>
      </c>
    </row>
    <row r="62" spans="1:3">
      <c r="A62" s="59" t="s">
        <v>800</v>
      </c>
      <c r="B62" s="71" t="s">
        <v>801</v>
      </c>
      <c r="C62" s="58" t="s">
        <v>29</v>
      </c>
    </row>
    <row r="63" spans="1:3">
      <c r="A63" s="62" t="s">
        <v>802</v>
      </c>
      <c r="B63" s="72" t="s">
        <v>803</v>
      </c>
      <c r="C63" s="58" t="s">
        <v>28</v>
      </c>
    </row>
    <row r="64" spans="1:3">
      <c r="A64" s="62" t="s">
        <v>804</v>
      </c>
      <c r="B64" s="72" t="s">
        <v>805</v>
      </c>
      <c r="C64" s="58" t="s">
        <v>28</v>
      </c>
    </row>
    <row r="65" spans="1:3" ht="23">
      <c r="A65" s="18" t="s">
        <v>1744</v>
      </c>
      <c r="B65" s="71" t="s">
        <v>806</v>
      </c>
      <c r="C65" s="58" t="s">
        <v>28</v>
      </c>
    </row>
    <row r="66" spans="1:3">
      <c r="A66" s="59" t="s">
        <v>60</v>
      </c>
      <c r="B66" s="71" t="s">
        <v>711</v>
      </c>
      <c r="C66" s="58" t="s">
        <v>28</v>
      </c>
    </row>
    <row r="67" spans="1:3">
      <c r="A67" s="62" t="s">
        <v>807</v>
      </c>
      <c r="B67" s="71" t="s">
        <v>808</v>
      </c>
      <c r="C67" s="58" t="s">
        <v>29</v>
      </c>
    </row>
    <row r="68" spans="1:3">
      <c r="A68" s="63" t="s">
        <v>809</v>
      </c>
      <c r="B68" s="72" t="s">
        <v>810</v>
      </c>
      <c r="C68" s="58" t="s">
        <v>28</v>
      </c>
    </row>
    <row r="69" spans="1:3">
      <c r="A69" s="59" t="s">
        <v>811</v>
      </c>
      <c r="B69" s="71" t="s">
        <v>812</v>
      </c>
      <c r="C69" s="58" t="s">
        <v>704</v>
      </c>
    </row>
    <row r="70" spans="1:3">
      <c r="A70" s="62" t="s">
        <v>813</v>
      </c>
      <c r="B70" s="72" t="s">
        <v>814</v>
      </c>
      <c r="C70" s="58" t="s">
        <v>29</v>
      </c>
    </row>
    <row r="71" spans="1:3">
      <c r="A71" s="62" t="s">
        <v>815</v>
      </c>
      <c r="B71" s="71" t="s">
        <v>816</v>
      </c>
      <c r="C71" s="58" t="s">
        <v>28</v>
      </c>
    </row>
    <row r="72" spans="1:3">
      <c r="A72" s="59" t="s">
        <v>817</v>
      </c>
      <c r="B72" s="71" t="s">
        <v>818</v>
      </c>
      <c r="C72" s="58" t="s">
        <v>819</v>
      </c>
    </row>
    <row r="73" spans="1:3">
      <c r="A73" s="59" t="s">
        <v>820</v>
      </c>
      <c r="B73" s="71" t="s">
        <v>821</v>
      </c>
      <c r="C73" s="58" t="s">
        <v>29</v>
      </c>
    </row>
    <row r="74" spans="1:3">
      <c r="A74" s="73" t="s">
        <v>830</v>
      </c>
      <c r="B74" s="59" t="s">
        <v>831</v>
      </c>
      <c r="C74" s="58" t="s">
        <v>28</v>
      </c>
    </row>
    <row r="75" spans="1:3">
      <c r="A75" s="58" t="s">
        <v>20</v>
      </c>
      <c r="B75" s="59" t="s">
        <v>832</v>
      </c>
      <c r="C75" s="58" t="s">
        <v>28</v>
      </c>
    </row>
    <row r="76" spans="1:3">
      <c r="A76" s="58" t="s">
        <v>833</v>
      </c>
      <c r="B76" s="59" t="s">
        <v>834</v>
      </c>
      <c r="C76" s="58" t="s">
        <v>28</v>
      </c>
    </row>
    <row r="77" spans="1:3">
      <c r="A77" s="73" t="s">
        <v>836</v>
      </c>
      <c r="B77" s="59" t="s">
        <v>835</v>
      </c>
      <c r="C77" s="58" t="s">
        <v>28</v>
      </c>
    </row>
    <row r="78" spans="1:3">
      <c r="A78" s="58" t="s">
        <v>837</v>
      </c>
      <c r="B78" s="59" t="s">
        <v>838</v>
      </c>
      <c r="C78" s="58" t="s">
        <v>28</v>
      </c>
    </row>
    <row r="79" spans="1:3">
      <c r="A79" s="58" t="s">
        <v>140</v>
      </c>
      <c r="B79" s="58" t="s">
        <v>850</v>
      </c>
      <c r="C79" s="58" t="s">
        <v>29</v>
      </c>
    </row>
    <row r="80" spans="1:3">
      <c r="A80" s="58" t="s">
        <v>851</v>
      </c>
      <c r="B80" s="58" t="s">
        <v>852</v>
      </c>
      <c r="C80" s="58" t="s">
        <v>29</v>
      </c>
    </row>
    <row r="81" spans="1:3">
      <c r="A81" s="58" t="s">
        <v>1090</v>
      </c>
      <c r="B81" s="58" t="s">
        <v>853</v>
      </c>
      <c r="C81" s="58" t="s">
        <v>28</v>
      </c>
    </row>
    <row r="82" spans="1:3" ht="23">
      <c r="A82" s="18" t="s">
        <v>1808</v>
      </c>
      <c r="B82" s="58" t="s">
        <v>1809</v>
      </c>
      <c r="C82" s="58" t="s">
        <v>28</v>
      </c>
    </row>
    <row r="83" spans="1:3" ht="23">
      <c r="A83" s="58" t="s">
        <v>1315</v>
      </c>
      <c r="B83" s="18" t="s">
        <v>1316</v>
      </c>
      <c r="C83" s="58" t="s">
        <v>704</v>
      </c>
    </row>
    <row r="84" spans="1:3">
      <c r="A84" s="58" t="s">
        <v>854</v>
      </c>
      <c r="B84" s="58" t="s">
        <v>855</v>
      </c>
      <c r="C84" s="58" t="s">
        <v>28</v>
      </c>
    </row>
    <row r="85" spans="1:3">
      <c r="A85" s="58" t="s">
        <v>856</v>
      </c>
      <c r="B85" s="58" t="s">
        <v>857</v>
      </c>
      <c r="C85" s="58" t="s">
        <v>28</v>
      </c>
    </row>
    <row r="86" spans="1:3">
      <c r="A86" s="58" t="s">
        <v>858</v>
      </c>
      <c r="B86" s="58" t="s">
        <v>859</v>
      </c>
      <c r="C86" s="58" t="s">
        <v>29</v>
      </c>
    </row>
    <row r="87" spans="1:3">
      <c r="A87" s="58" t="s">
        <v>11</v>
      </c>
      <c r="B87" s="58" t="s">
        <v>860</v>
      </c>
      <c r="C87" s="58" t="s">
        <v>28</v>
      </c>
    </row>
    <row r="88" spans="1:3">
      <c r="A88" s="58" t="s">
        <v>861</v>
      </c>
      <c r="B88" s="58" t="s">
        <v>862</v>
      </c>
      <c r="C88" s="58" t="s">
        <v>29</v>
      </c>
    </row>
    <row r="89" spans="1:3">
      <c r="A89" s="58" t="s">
        <v>113</v>
      </c>
      <c r="B89" s="58" t="s">
        <v>863</v>
      </c>
      <c r="C89" s="58" t="s">
        <v>29</v>
      </c>
    </row>
    <row r="90" spans="1:3">
      <c r="A90" s="58" t="s">
        <v>882</v>
      </c>
      <c r="B90" s="58" t="s">
        <v>864</v>
      </c>
      <c r="C90" s="58" t="s">
        <v>29</v>
      </c>
    </row>
    <row r="91" spans="1:3">
      <c r="A91" s="58" t="s">
        <v>794</v>
      </c>
      <c r="B91" s="58" t="s">
        <v>865</v>
      </c>
      <c r="C91" s="58" t="s">
        <v>29</v>
      </c>
    </row>
    <row r="92" spans="1:3">
      <c r="A92" s="58" t="s">
        <v>866</v>
      </c>
      <c r="B92" s="58" t="s">
        <v>867</v>
      </c>
      <c r="C92" s="58" t="s">
        <v>29</v>
      </c>
    </row>
    <row r="93" spans="1:3">
      <c r="A93" s="58" t="s">
        <v>868</v>
      </c>
      <c r="B93" s="58" t="s">
        <v>869</v>
      </c>
      <c r="C93" s="58" t="s">
        <v>29</v>
      </c>
    </row>
    <row r="94" spans="1:3">
      <c r="A94" s="58" t="s">
        <v>140</v>
      </c>
      <c r="B94" s="58" t="s">
        <v>850</v>
      </c>
      <c r="C94" s="58" t="s">
        <v>29</v>
      </c>
    </row>
    <row r="95" spans="1:3">
      <c r="A95" s="58" t="s">
        <v>870</v>
      </c>
      <c r="B95" s="58" t="s">
        <v>871</v>
      </c>
      <c r="C95" s="58" t="s">
        <v>29</v>
      </c>
    </row>
    <row r="96" spans="1:3">
      <c r="A96" s="58" t="s">
        <v>872</v>
      </c>
      <c r="B96" s="58" t="s">
        <v>873</v>
      </c>
      <c r="C96" s="58" t="s">
        <v>29</v>
      </c>
    </row>
    <row r="97" spans="1:3">
      <c r="A97" s="58" t="s">
        <v>874</v>
      </c>
      <c r="B97" s="58" t="s">
        <v>875</v>
      </c>
      <c r="C97" s="58" t="s">
        <v>29</v>
      </c>
    </row>
    <row r="98" spans="1:3">
      <c r="A98" s="58" t="s">
        <v>876</v>
      </c>
      <c r="B98" s="58" t="s">
        <v>877</v>
      </c>
      <c r="C98" s="58" t="s">
        <v>29</v>
      </c>
    </row>
    <row r="99" spans="1:3">
      <c r="A99" s="58" t="s">
        <v>878</v>
      </c>
      <c r="B99" s="58" t="s">
        <v>879</v>
      </c>
      <c r="C99" s="58" t="s">
        <v>29</v>
      </c>
    </row>
    <row r="100" spans="1:3">
      <c r="A100" s="58" t="s">
        <v>880</v>
      </c>
      <c r="B100" s="58" t="s">
        <v>881</v>
      </c>
      <c r="C100" s="58" t="s">
        <v>29</v>
      </c>
    </row>
    <row r="101" spans="1:3">
      <c r="A101" s="59" t="s">
        <v>885</v>
      </c>
      <c r="B101" s="59" t="s">
        <v>886</v>
      </c>
      <c r="C101" s="58" t="s">
        <v>29</v>
      </c>
    </row>
    <row r="102" spans="1:3">
      <c r="A102" s="59" t="s">
        <v>887</v>
      </c>
      <c r="B102" s="59" t="s">
        <v>888</v>
      </c>
      <c r="C102" s="58" t="s">
        <v>28</v>
      </c>
    </row>
    <row r="103" spans="1:3">
      <c r="A103" s="59" t="s">
        <v>889</v>
      </c>
      <c r="B103" s="59" t="s">
        <v>890</v>
      </c>
      <c r="C103" s="58" t="s">
        <v>29</v>
      </c>
    </row>
    <row r="104" spans="1:3">
      <c r="A104" s="59" t="s">
        <v>891</v>
      </c>
      <c r="B104" s="59" t="s">
        <v>892</v>
      </c>
      <c r="C104" s="58" t="s">
        <v>29</v>
      </c>
    </row>
    <row r="105" spans="1:3">
      <c r="A105" s="58" t="s">
        <v>893</v>
      </c>
      <c r="B105" s="59" t="s">
        <v>894</v>
      </c>
      <c r="C105" s="58" t="s">
        <v>28</v>
      </c>
    </row>
    <row r="106" spans="1:3">
      <c r="A106" s="58" t="s">
        <v>895</v>
      </c>
      <c r="B106" s="59" t="s">
        <v>896</v>
      </c>
      <c r="C106" s="58" t="s">
        <v>29</v>
      </c>
    </row>
    <row r="107" spans="1:3">
      <c r="A107" s="58" t="s">
        <v>883</v>
      </c>
      <c r="B107" s="59" t="s">
        <v>884</v>
      </c>
      <c r="C107" s="58" t="s">
        <v>704</v>
      </c>
    </row>
    <row r="108" spans="1:3">
      <c r="A108" s="59" t="s">
        <v>898</v>
      </c>
      <c r="B108" s="59" t="s">
        <v>897</v>
      </c>
      <c r="C108" s="58" t="s">
        <v>28</v>
      </c>
    </row>
    <row r="109" spans="1:3">
      <c r="A109" s="58" t="s">
        <v>899</v>
      </c>
      <c r="B109" s="59" t="s">
        <v>900</v>
      </c>
      <c r="C109" s="58" t="s">
        <v>704</v>
      </c>
    </row>
    <row r="110" spans="1:3">
      <c r="A110" s="58" t="s">
        <v>901</v>
      </c>
      <c r="B110" s="59" t="s">
        <v>902</v>
      </c>
      <c r="C110" s="58" t="s">
        <v>28</v>
      </c>
    </row>
    <row r="111" spans="1:3">
      <c r="A111" s="58" t="s">
        <v>904</v>
      </c>
      <c r="B111" s="59" t="s">
        <v>903</v>
      </c>
      <c r="C111" s="58" t="s">
        <v>29</v>
      </c>
    </row>
    <row r="112" spans="1:3">
      <c r="A112" s="58" t="s">
        <v>905</v>
      </c>
      <c r="B112" s="59" t="s">
        <v>906</v>
      </c>
      <c r="C112" s="58" t="s">
        <v>28</v>
      </c>
    </row>
    <row r="113" spans="1:3">
      <c r="A113" s="58" t="s">
        <v>908</v>
      </c>
      <c r="B113" s="59" t="s">
        <v>907</v>
      </c>
      <c r="C113" s="58" t="s">
        <v>29</v>
      </c>
    </row>
    <row r="114" spans="1:3">
      <c r="A114" s="58" t="s">
        <v>910</v>
      </c>
      <c r="B114" s="59" t="s">
        <v>909</v>
      </c>
      <c r="C114" s="58" t="s">
        <v>28</v>
      </c>
    </row>
    <row r="115" spans="1:3">
      <c r="A115" s="58" t="s">
        <v>912</v>
      </c>
      <c r="B115" s="59" t="s">
        <v>911</v>
      </c>
      <c r="C115" s="58" t="s">
        <v>28</v>
      </c>
    </row>
    <row r="116" spans="1:3">
      <c r="A116" s="59" t="s">
        <v>91</v>
      </c>
      <c r="B116" s="59" t="s">
        <v>913</v>
      </c>
      <c r="C116" s="58" t="s">
        <v>29</v>
      </c>
    </row>
    <row r="117" spans="1:3">
      <c r="A117" s="58" t="s">
        <v>2127</v>
      </c>
      <c r="B117" s="59" t="s">
        <v>914</v>
      </c>
      <c r="C117" s="58" t="s">
        <v>28</v>
      </c>
    </row>
    <row r="118" spans="1:3">
      <c r="A118" s="58" t="s">
        <v>916</v>
      </c>
      <c r="B118" s="59" t="s">
        <v>915</v>
      </c>
      <c r="C118" s="58" t="s">
        <v>29</v>
      </c>
    </row>
    <row r="119" spans="1:3">
      <c r="A119" s="58" t="s">
        <v>918</v>
      </c>
      <c r="B119" s="59" t="s">
        <v>917</v>
      </c>
      <c r="C119" s="58" t="s">
        <v>28</v>
      </c>
    </row>
    <row r="120" spans="1:3">
      <c r="A120" s="58" t="s">
        <v>920</v>
      </c>
      <c r="B120" s="59" t="s">
        <v>919</v>
      </c>
      <c r="C120" s="58" t="s">
        <v>28</v>
      </c>
    </row>
    <row r="121" spans="1:3">
      <c r="A121" s="58" t="s">
        <v>922</v>
      </c>
      <c r="B121" s="59" t="s">
        <v>921</v>
      </c>
      <c r="C121" s="58" t="s">
        <v>28</v>
      </c>
    </row>
    <row r="122" spans="1:3">
      <c r="A122" s="58" t="s">
        <v>927</v>
      </c>
      <c r="B122" s="59" t="s">
        <v>923</v>
      </c>
      <c r="C122" s="58" t="s">
        <v>28</v>
      </c>
    </row>
    <row r="123" spans="1:3">
      <c r="A123" s="58" t="s">
        <v>928</v>
      </c>
      <c r="B123" s="59" t="s">
        <v>924</v>
      </c>
      <c r="C123" s="58" t="s">
        <v>28</v>
      </c>
    </row>
    <row r="124" spans="1:3">
      <c r="A124" s="58" t="s">
        <v>929</v>
      </c>
      <c r="B124" s="59" t="s">
        <v>925</v>
      </c>
      <c r="C124" s="58" t="s">
        <v>28</v>
      </c>
    </row>
    <row r="125" spans="1:3">
      <c r="A125" s="58" t="s">
        <v>930</v>
      </c>
      <c r="B125" s="59" t="s">
        <v>926</v>
      </c>
      <c r="C125" s="58" t="s">
        <v>28</v>
      </c>
    </row>
    <row r="126" spans="1:3">
      <c r="A126" s="58" t="s">
        <v>836</v>
      </c>
      <c r="B126" s="58" t="s">
        <v>931</v>
      </c>
      <c r="C126" s="58" t="s">
        <v>28</v>
      </c>
    </row>
    <row r="127" spans="1:3">
      <c r="A127" s="58" t="s">
        <v>932</v>
      </c>
      <c r="B127" s="58" t="s">
        <v>933</v>
      </c>
      <c r="C127" s="58" t="s">
        <v>29</v>
      </c>
    </row>
    <row r="128" spans="1:3">
      <c r="A128" s="58" t="s">
        <v>934</v>
      </c>
      <c r="B128" s="58" t="s">
        <v>935</v>
      </c>
      <c r="C128" s="58" t="s">
        <v>29</v>
      </c>
    </row>
    <row r="129" spans="1:4">
      <c r="A129" s="58" t="s">
        <v>936</v>
      </c>
      <c r="B129" s="58" t="s">
        <v>937</v>
      </c>
      <c r="C129" s="58" t="s">
        <v>29</v>
      </c>
    </row>
    <row r="130" spans="1:4">
      <c r="A130" s="58" t="s">
        <v>833</v>
      </c>
      <c r="B130" s="58" t="s">
        <v>938</v>
      </c>
      <c r="C130" s="58" t="s">
        <v>29</v>
      </c>
    </row>
    <row r="131" spans="1:4">
      <c r="A131" s="58" t="s">
        <v>878</v>
      </c>
      <c r="B131" s="59" t="s">
        <v>939</v>
      </c>
      <c r="C131" s="58" t="s">
        <v>29</v>
      </c>
    </row>
    <row r="132" spans="1:4">
      <c r="A132" s="58" t="s">
        <v>941</v>
      </c>
      <c r="B132" s="59" t="s">
        <v>940</v>
      </c>
      <c r="C132" s="58" t="s">
        <v>28</v>
      </c>
    </row>
    <row r="133" spans="1:4">
      <c r="A133" s="59" t="s">
        <v>1077</v>
      </c>
      <c r="B133" s="59" t="s">
        <v>1076</v>
      </c>
      <c r="C133" s="58" t="s">
        <v>29</v>
      </c>
    </row>
    <row r="134" spans="1:4">
      <c r="A134" s="58" t="s">
        <v>974</v>
      </c>
      <c r="B134" s="59" t="s">
        <v>973</v>
      </c>
      <c r="C134" s="58" t="s">
        <v>28</v>
      </c>
    </row>
    <row r="135" spans="1:4">
      <c r="A135" s="58" t="s">
        <v>804</v>
      </c>
      <c r="B135" s="59" t="s">
        <v>976</v>
      </c>
      <c r="C135" s="58" t="s">
        <v>28</v>
      </c>
    </row>
    <row r="136" spans="1:4">
      <c r="A136" s="58" t="s">
        <v>980</v>
      </c>
      <c r="B136" s="59" t="s">
        <v>979</v>
      </c>
      <c r="C136" s="58" t="s">
        <v>704</v>
      </c>
    </row>
    <row r="137" spans="1:4">
      <c r="A137" s="58" t="s">
        <v>978</v>
      </c>
      <c r="B137" s="59" t="s">
        <v>977</v>
      </c>
      <c r="C137" s="58" t="s">
        <v>704</v>
      </c>
    </row>
    <row r="138" spans="1:4">
      <c r="A138" s="59" t="s">
        <v>1102</v>
      </c>
      <c r="B138" s="59" t="s">
        <v>982</v>
      </c>
      <c r="C138" s="58" t="s">
        <v>28</v>
      </c>
    </row>
    <row r="139" spans="1:4">
      <c r="A139" s="58" t="s">
        <v>1745</v>
      </c>
      <c r="B139" s="59" t="s">
        <v>983</v>
      </c>
      <c r="C139" s="58" t="s">
        <v>28</v>
      </c>
    </row>
    <row r="140" spans="1:4" ht="23">
      <c r="A140" s="59" t="s">
        <v>1747</v>
      </c>
      <c r="B140" s="18" t="s">
        <v>1746</v>
      </c>
      <c r="C140" s="58" t="s">
        <v>28</v>
      </c>
    </row>
    <row r="141" spans="1:4">
      <c r="A141" s="59" t="s">
        <v>5</v>
      </c>
      <c r="B141" s="59" t="s">
        <v>984</v>
      </c>
      <c r="C141" s="58" t="s">
        <v>28</v>
      </c>
    </row>
    <row r="142" spans="1:4">
      <c r="A142" s="59" t="s">
        <v>5</v>
      </c>
      <c r="B142" s="59" t="s">
        <v>985</v>
      </c>
      <c r="C142" s="58" t="s">
        <v>704</v>
      </c>
    </row>
    <row r="143" spans="1:4">
      <c r="A143" s="59" t="s">
        <v>856</v>
      </c>
      <c r="B143" s="59" t="s">
        <v>986</v>
      </c>
      <c r="C143" s="58" t="s">
        <v>28</v>
      </c>
      <c r="D143" s="42">
        <f>5000/(0%+4%-(2%))</f>
        <v>250000</v>
      </c>
    </row>
    <row r="144" spans="1:4">
      <c r="A144" s="59" t="s">
        <v>988</v>
      </c>
      <c r="B144" s="59" t="s">
        <v>987</v>
      </c>
      <c r="C144" s="58" t="s">
        <v>28</v>
      </c>
    </row>
    <row r="145" spans="1:3">
      <c r="A145" s="59" t="s">
        <v>992</v>
      </c>
      <c r="B145" s="59" t="s">
        <v>2128</v>
      </c>
      <c r="C145" s="58" t="s">
        <v>28</v>
      </c>
    </row>
    <row r="146" spans="1:3">
      <c r="A146" s="59" t="s">
        <v>990</v>
      </c>
      <c r="B146" s="59" t="s">
        <v>989</v>
      </c>
      <c r="C146" s="58" t="s">
        <v>28</v>
      </c>
    </row>
    <row r="147" spans="1:3">
      <c r="A147" s="59" t="s">
        <v>992</v>
      </c>
      <c r="B147" s="59" t="s">
        <v>991</v>
      </c>
      <c r="C147" s="58" t="s">
        <v>28</v>
      </c>
    </row>
    <row r="148" spans="1:3">
      <c r="A148" s="59" t="s">
        <v>804</v>
      </c>
      <c r="B148" s="59" t="s">
        <v>975</v>
      </c>
      <c r="C148" s="58" t="s">
        <v>28</v>
      </c>
    </row>
    <row r="149" spans="1:3">
      <c r="A149" s="59" t="s">
        <v>994</v>
      </c>
      <c r="B149" s="59" t="s">
        <v>993</v>
      </c>
      <c r="C149" s="58" t="s">
        <v>28</v>
      </c>
    </row>
    <row r="150" spans="1:3">
      <c r="A150" s="59" t="s">
        <v>996</v>
      </c>
      <c r="B150" s="59" t="s">
        <v>995</v>
      </c>
      <c r="C150" s="58" t="s">
        <v>29</v>
      </c>
    </row>
    <row r="151" spans="1:3">
      <c r="A151" s="59" t="s">
        <v>998</v>
      </c>
      <c r="B151" s="59" t="s">
        <v>997</v>
      </c>
      <c r="C151" s="58" t="s">
        <v>28</v>
      </c>
    </row>
    <row r="152" spans="1:3">
      <c r="A152" s="59" t="s">
        <v>981</v>
      </c>
      <c r="B152" s="59" t="s">
        <v>1009</v>
      </c>
      <c r="C152" s="58" t="s">
        <v>28</v>
      </c>
    </row>
    <row r="153" spans="1:3">
      <c r="A153" s="58" t="s">
        <v>1021</v>
      </c>
      <c r="B153" s="58" t="s">
        <v>1010</v>
      </c>
      <c r="C153" s="58" t="s">
        <v>29</v>
      </c>
    </row>
    <row r="154" spans="1:3">
      <c r="A154" s="58" t="s">
        <v>1022</v>
      </c>
      <c r="B154" s="58" t="s">
        <v>1011</v>
      </c>
      <c r="C154" s="58" t="s">
        <v>28</v>
      </c>
    </row>
    <row r="155" spans="1:3">
      <c r="A155" s="58" t="s">
        <v>87</v>
      </c>
      <c r="B155" s="58" t="s">
        <v>1012</v>
      </c>
      <c r="C155" s="58" t="s">
        <v>29</v>
      </c>
    </row>
    <row r="156" spans="1:3">
      <c r="A156" s="58" t="s">
        <v>1023</v>
      </c>
      <c r="B156" s="58" t="s">
        <v>1013</v>
      </c>
      <c r="C156" s="58" t="s">
        <v>28</v>
      </c>
    </row>
    <row r="157" spans="1:3">
      <c r="A157" s="58" t="s">
        <v>1024</v>
      </c>
      <c r="B157" s="58" t="s">
        <v>1014</v>
      </c>
      <c r="C157" s="58" t="s">
        <v>28</v>
      </c>
    </row>
    <row r="158" spans="1:3">
      <c r="A158" s="58" t="s">
        <v>1025</v>
      </c>
      <c r="B158" s="58" t="s">
        <v>1015</v>
      </c>
      <c r="C158" s="58" t="s">
        <v>28</v>
      </c>
    </row>
    <row r="159" spans="1:3">
      <c r="A159" s="58" t="s">
        <v>1026</v>
      </c>
      <c r="B159" s="58" t="s">
        <v>1016</v>
      </c>
      <c r="C159" s="58" t="s">
        <v>704</v>
      </c>
    </row>
    <row r="160" spans="1:3">
      <c r="A160" s="58" t="s">
        <v>1027</v>
      </c>
      <c r="B160" s="58" t="s">
        <v>1017</v>
      </c>
      <c r="C160" s="58" t="s">
        <v>29</v>
      </c>
    </row>
    <row r="161" spans="1:3">
      <c r="A161" s="58" t="s">
        <v>1028</v>
      </c>
      <c r="B161" s="58" t="s">
        <v>1018</v>
      </c>
      <c r="C161" s="58" t="s">
        <v>29</v>
      </c>
    </row>
    <row r="162" spans="1:3">
      <c r="A162" s="58" t="s">
        <v>331</v>
      </c>
      <c r="B162" s="58" t="s">
        <v>1019</v>
      </c>
      <c r="C162" s="58" t="s">
        <v>29</v>
      </c>
    </row>
    <row r="163" spans="1:3">
      <c r="A163" s="58" t="s">
        <v>882</v>
      </c>
      <c r="B163" s="58" t="s">
        <v>1020</v>
      </c>
      <c r="C163" s="58" t="s">
        <v>29</v>
      </c>
    </row>
    <row r="164" spans="1:3">
      <c r="A164" s="58" t="s">
        <v>1030</v>
      </c>
      <c r="B164" s="59" t="s">
        <v>1029</v>
      </c>
      <c r="C164" s="58" t="s">
        <v>29</v>
      </c>
    </row>
    <row r="165" spans="1:3">
      <c r="A165" s="58" t="s">
        <v>1031</v>
      </c>
      <c r="B165" s="59" t="s">
        <v>1032</v>
      </c>
      <c r="C165" s="58" t="s">
        <v>28</v>
      </c>
    </row>
    <row r="166" spans="1:3">
      <c r="A166" s="58" t="s">
        <v>1033</v>
      </c>
      <c r="B166" s="59" t="s">
        <v>1034</v>
      </c>
      <c r="C166" s="58" t="s">
        <v>29</v>
      </c>
    </row>
    <row r="167" spans="1:3">
      <c r="A167" s="58" t="s">
        <v>1035</v>
      </c>
      <c r="B167" s="59" t="s">
        <v>1036</v>
      </c>
      <c r="C167" s="58" t="s">
        <v>28</v>
      </c>
    </row>
    <row r="168" spans="1:3">
      <c r="A168" s="58" t="s">
        <v>1037</v>
      </c>
      <c r="B168" s="59" t="s">
        <v>900</v>
      </c>
      <c r="C168" s="58" t="s">
        <v>28</v>
      </c>
    </row>
    <row r="169" spans="1:3">
      <c r="A169" s="58" t="s">
        <v>1038</v>
      </c>
      <c r="B169" s="59" t="s">
        <v>1039</v>
      </c>
      <c r="C169" s="58" t="s">
        <v>28</v>
      </c>
    </row>
    <row r="170" spans="1:3">
      <c r="A170" s="58" t="s">
        <v>1041</v>
      </c>
      <c r="B170" s="58" t="s">
        <v>1042</v>
      </c>
      <c r="C170" s="58" t="s">
        <v>29</v>
      </c>
    </row>
    <row r="171" spans="1:3">
      <c r="A171" s="59" t="s">
        <v>1044</v>
      </c>
      <c r="B171" s="59" t="s">
        <v>1043</v>
      </c>
      <c r="C171" s="58" t="s">
        <v>29</v>
      </c>
    </row>
    <row r="172" spans="1:3">
      <c r="A172" s="58" t="s">
        <v>161</v>
      </c>
      <c r="B172" s="59" t="s">
        <v>1045</v>
      </c>
      <c r="C172" s="58" t="s">
        <v>29</v>
      </c>
    </row>
    <row r="173" spans="1:3">
      <c r="A173" s="58" t="s">
        <v>140</v>
      </c>
      <c r="B173" s="59" t="s">
        <v>1046</v>
      </c>
      <c r="C173" s="58" t="s">
        <v>29</v>
      </c>
    </row>
    <row r="174" spans="1:3">
      <c r="A174" s="58" t="s">
        <v>1048</v>
      </c>
      <c r="B174" s="59" t="s">
        <v>1047</v>
      </c>
      <c r="C174" s="58" t="s">
        <v>29</v>
      </c>
    </row>
    <row r="175" spans="1:3">
      <c r="A175" s="73" t="s">
        <v>100</v>
      </c>
      <c r="B175" s="59" t="s">
        <v>1049</v>
      </c>
      <c r="C175" s="58" t="s">
        <v>29</v>
      </c>
    </row>
    <row r="176" spans="1:3">
      <c r="A176" s="73" t="s">
        <v>1050</v>
      </c>
      <c r="B176" s="59" t="s">
        <v>1051</v>
      </c>
      <c r="C176" s="58" t="s">
        <v>29</v>
      </c>
    </row>
    <row r="177" spans="1:13">
      <c r="A177" s="58" t="s">
        <v>1053</v>
      </c>
      <c r="B177" s="59" t="s">
        <v>1052</v>
      </c>
      <c r="C177" s="58" t="s">
        <v>29</v>
      </c>
    </row>
    <row r="178" spans="1:13">
      <c r="A178" s="58" t="s">
        <v>76</v>
      </c>
      <c r="B178" s="59" t="s">
        <v>1054</v>
      </c>
      <c r="C178" s="58" t="s">
        <v>29</v>
      </c>
    </row>
    <row r="179" spans="1:13">
      <c r="A179" s="58" t="s">
        <v>882</v>
      </c>
      <c r="B179" s="59" t="s">
        <v>1055</v>
      </c>
      <c r="C179" s="58" t="s">
        <v>29</v>
      </c>
    </row>
    <row r="180" spans="1:13">
      <c r="A180" s="58" t="s">
        <v>87</v>
      </c>
      <c r="B180" s="59" t="s">
        <v>1056</v>
      </c>
      <c r="C180" s="58" t="s">
        <v>29</v>
      </c>
    </row>
    <row r="181" spans="1:13">
      <c r="A181" s="58" t="s">
        <v>1058</v>
      </c>
      <c r="B181" s="59" t="s">
        <v>1057</v>
      </c>
      <c r="C181" s="58" t="s">
        <v>29</v>
      </c>
    </row>
    <row r="182" spans="1:13">
      <c r="A182" s="58" t="s">
        <v>1060</v>
      </c>
      <c r="B182" s="59" t="s">
        <v>1059</v>
      </c>
      <c r="C182" s="58" t="s">
        <v>29</v>
      </c>
    </row>
    <row r="183" spans="1:13">
      <c r="A183" s="58" t="s">
        <v>1062</v>
      </c>
      <c r="B183" s="59" t="s">
        <v>1061</v>
      </c>
      <c r="C183" s="58" t="s">
        <v>29</v>
      </c>
    </row>
    <row r="184" spans="1:13">
      <c r="A184" s="58" t="s">
        <v>1064</v>
      </c>
      <c r="B184" s="59" t="s">
        <v>1063</v>
      </c>
      <c r="C184" s="58" t="s">
        <v>29</v>
      </c>
    </row>
    <row r="185" spans="1:13">
      <c r="A185" s="73" t="s">
        <v>1066</v>
      </c>
      <c r="B185" s="59" t="s">
        <v>1065</v>
      </c>
      <c r="C185" s="58" t="s">
        <v>28</v>
      </c>
    </row>
    <row r="186" spans="1:13">
      <c r="A186" s="58" t="s">
        <v>1068</v>
      </c>
      <c r="B186" s="59" t="s">
        <v>1067</v>
      </c>
      <c r="C186" s="58" t="s">
        <v>28</v>
      </c>
    </row>
    <row r="187" spans="1:13">
      <c r="A187" s="58" t="s">
        <v>1070</v>
      </c>
      <c r="B187" s="59" t="s">
        <v>1069</v>
      </c>
      <c r="C187" s="58" t="s">
        <v>29</v>
      </c>
      <c r="D187" s="48"/>
      <c r="E187" s="48"/>
      <c r="F187" s="48"/>
      <c r="G187" s="48"/>
      <c r="H187" s="48"/>
      <c r="I187" s="48"/>
      <c r="J187" s="53"/>
      <c r="K187" s="48"/>
      <c r="L187" s="50"/>
      <c r="M187" s="55"/>
    </row>
    <row r="188" spans="1:13">
      <c r="A188" s="59" t="s">
        <v>1071</v>
      </c>
      <c r="B188" s="59" t="s">
        <v>1072</v>
      </c>
      <c r="C188" s="58" t="s">
        <v>28</v>
      </c>
      <c r="D188" s="48"/>
      <c r="E188" s="48"/>
      <c r="F188" s="48"/>
      <c r="G188" s="48"/>
      <c r="H188" s="48"/>
      <c r="I188" s="48"/>
      <c r="J188" s="53"/>
      <c r="K188" s="48"/>
      <c r="L188" s="50"/>
      <c r="M188" s="55"/>
    </row>
    <row r="189" spans="1:13">
      <c r="A189" s="58" t="s">
        <v>1744</v>
      </c>
      <c r="B189" s="58" t="s">
        <v>1073</v>
      </c>
      <c r="C189" s="58" t="s">
        <v>28</v>
      </c>
      <c r="D189" s="54"/>
      <c r="E189" s="48"/>
      <c r="F189" s="48"/>
      <c r="G189" s="48"/>
      <c r="H189" s="48"/>
      <c r="I189" s="48"/>
      <c r="J189" s="53"/>
      <c r="K189" s="48"/>
      <c r="L189" s="50"/>
      <c r="M189" s="55"/>
    </row>
    <row r="190" spans="1:13">
      <c r="A190" s="58" t="s">
        <v>15</v>
      </c>
      <c r="B190" s="58" t="s">
        <v>1074</v>
      </c>
      <c r="C190" s="58" t="s">
        <v>29</v>
      </c>
      <c r="D190" s="48"/>
      <c r="E190" s="48"/>
      <c r="F190" s="48"/>
      <c r="G190" s="48"/>
      <c r="H190" s="48"/>
      <c r="I190" s="48"/>
      <c r="J190" s="53"/>
      <c r="K190" s="48"/>
      <c r="L190" s="50"/>
      <c r="M190" s="55"/>
    </row>
    <row r="191" spans="1:13">
      <c r="A191" s="58" t="s">
        <v>1751</v>
      </c>
      <c r="B191" s="58" t="s">
        <v>1075</v>
      </c>
      <c r="C191" s="58" t="s">
        <v>29</v>
      </c>
      <c r="D191" s="48"/>
      <c r="E191" s="48"/>
      <c r="F191" s="48"/>
      <c r="G191" s="48"/>
      <c r="H191" s="48"/>
      <c r="I191" s="48"/>
      <c r="J191" s="49"/>
      <c r="K191" s="48"/>
      <c r="L191" s="50"/>
      <c r="M191" s="55"/>
    </row>
    <row r="192" spans="1:13">
      <c r="A192" s="58" t="s">
        <v>1089</v>
      </c>
      <c r="B192" s="58" t="s">
        <v>1078</v>
      </c>
      <c r="C192" s="58" t="s">
        <v>28</v>
      </c>
      <c r="D192" s="48"/>
      <c r="E192" s="48"/>
      <c r="F192" s="48"/>
      <c r="G192" s="48"/>
      <c r="H192" s="48"/>
      <c r="I192" s="48"/>
      <c r="J192" s="53"/>
      <c r="K192" s="48"/>
      <c r="L192" s="50"/>
      <c r="M192" s="55"/>
    </row>
    <row r="193" spans="1:13">
      <c r="A193" s="58" t="s">
        <v>19</v>
      </c>
      <c r="B193" s="58" t="s">
        <v>1079</v>
      </c>
      <c r="C193" s="58" t="s">
        <v>28</v>
      </c>
      <c r="D193" s="48"/>
      <c r="E193" s="48"/>
      <c r="F193" s="48"/>
      <c r="G193" s="48"/>
      <c r="H193" s="48"/>
      <c r="I193" s="48"/>
      <c r="J193" s="53"/>
      <c r="K193" s="48"/>
      <c r="L193" s="50"/>
      <c r="M193" s="55"/>
    </row>
    <row r="194" spans="1:13">
      <c r="A194" s="58" t="s">
        <v>1090</v>
      </c>
      <c r="B194" s="58" t="s">
        <v>1080</v>
      </c>
      <c r="C194" s="58" t="s">
        <v>28</v>
      </c>
      <c r="D194" s="48"/>
      <c r="E194" s="48"/>
      <c r="F194" s="48"/>
      <c r="G194" s="48"/>
      <c r="H194" s="48"/>
      <c r="I194" s="48"/>
      <c r="J194" s="52"/>
      <c r="K194" s="48"/>
      <c r="L194" s="50"/>
      <c r="M194" s="55"/>
    </row>
    <row r="195" spans="1:13">
      <c r="A195" s="58" t="s">
        <v>100</v>
      </c>
      <c r="B195" s="58" t="s">
        <v>1081</v>
      </c>
      <c r="C195" s="58" t="s">
        <v>29</v>
      </c>
      <c r="D195" s="48"/>
      <c r="E195" s="48"/>
      <c r="F195" s="48"/>
      <c r="G195" s="48"/>
      <c r="H195" s="48"/>
      <c r="I195" s="48"/>
      <c r="J195" s="52"/>
      <c r="K195" s="48"/>
      <c r="L195" s="50"/>
      <c r="M195" s="55"/>
    </row>
    <row r="196" spans="1:13">
      <c r="A196" s="58" t="s">
        <v>809</v>
      </c>
      <c r="B196" s="58" t="s">
        <v>1082</v>
      </c>
      <c r="C196" s="58" t="s">
        <v>28</v>
      </c>
      <c r="D196" s="48"/>
      <c r="E196" s="48"/>
      <c r="F196" s="48"/>
      <c r="G196" s="48"/>
      <c r="H196" s="48"/>
      <c r="I196" s="48"/>
      <c r="J196" s="53"/>
      <c r="K196" s="48"/>
      <c r="L196" s="50"/>
      <c r="M196" s="55"/>
    </row>
    <row r="197" spans="1:13">
      <c r="A197" s="58" t="s">
        <v>1091</v>
      </c>
      <c r="B197" s="58" t="s">
        <v>948</v>
      </c>
      <c r="C197" s="58" t="s">
        <v>28</v>
      </c>
      <c r="D197" s="48"/>
      <c r="E197" s="48"/>
      <c r="F197" s="48"/>
      <c r="G197" s="48"/>
      <c r="H197" s="48"/>
      <c r="I197" s="48"/>
      <c r="J197" s="49"/>
      <c r="K197" s="48"/>
      <c r="L197" s="50"/>
      <c r="M197" s="55"/>
    </row>
    <row r="198" spans="1:13">
      <c r="A198" s="58" t="s">
        <v>1092</v>
      </c>
      <c r="B198" s="58" t="s">
        <v>1083</v>
      </c>
      <c r="C198" s="58" t="s">
        <v>29</v>
      </c>
      <c r="D198" s="48"/>
      <c r="E198" s="48"/>
      <c r="F198" s="48"/>
      <c r="G198" s="48"/>
      <c r="H198" s="48"/>
      <c r="I198" s="48"/>
      <c r="J198" s="53"/>
      <c r="K198" s="48"/>
      <c r="L198" s="50"/>
      <c r="M198" s="55"/>
    </row>
    <row r="199" spans="1:13">
      <c r="A199" s="58" t="s">
        <v>794</v>
      </c>
      <c r="B199" s="58" t="s">
        <v>1084</v>
      </c>
      <c r="C199" s="58" t="s">
        <v>29</v>
      </c>
      <c r="D199" s="48"/>
      <c r="E199" s="48"/>
      <c r="F199" s="48"/>
      <c r="G199" s="48"/>
      <c r="H199" s="48"/>
      <c r="I199" s="48"/>
      <c r="J199" s="53"/>
      <c r="K199" s="48"/>
      <c r="L199" s="50"/>
      <c r="M199" s="55"/>
    </row>
    <row r="200" spans="1:13">
      <c r="A200" s="58" t="s">
        <v>1093</v>
      </c>
      <c r="B200" s="58" t="s">
        <v>1085</v>
      </c>
      <c r="C200" s="58" t="s">
        <v>29</v>
      </c>
      <c r="D200" s="48"/>
      <c r="E200" s="48"/>
      <c r="F200" s="48"/>
      <c r="G200" s="48"/>
      <c r="H200" s="48"/>
      <c r="I200" s="48"/>
      <c r="J200" s="52"/>
      <c r="K200" s="48"/>
      <c r="L200" s="50"/>
      <c r="M200" s="55"/>
    </row>
    <row r="201" spans="1:13">
      <c r="A201" s="58" t="s">
        <v>1094</v>
      </c>
      <c r="B201" s="58" t="s">
        <v>1086</v>
      </c>
      <c r="C201" s="58" t="s">
        <v>28</v>
      </c>
      <c r="D201" s="48"/>
      <c r="E201" s="48"/>
      <c r="F201" s="48"/>
      <c r="G201" s="48"/>
      <c r="H201" s="48"/>
      <c r="I201" s="48"/>
      <c r="J201" s="52"/>
      <c r="K201" s="48"/>
      <c r="L201" s="50"/>
      <c r="M201" s="55"/>
    </row>
    <row r="202" spans="1:13">
      <c r="A202" s="58" t="s">
        <v>1095</v>
      </c>
      <c r="B202" s="58" t="s">
        <v>1087</v>
      </c>
      <c r="C202" s="58" t="s">
        <v>28</v>
      </c>
      <c r="D202" s="48"/>
      <c r="E202" s="48"/>
      <c r="F202" s="48"/>
      <c r="G202" s="48"/>
      <c r="H202" s="48"/>
      <c r="I202" s="48"/>
      <c r="J202" s="49"/>
      <c r="K202" s="48"/>
      <c r="L202" s="50"/>
      <c r="M202" s="55"/>
    </row>
    <row r="203" spans="1:13">
      <c r="A203" s="58" t="s">
        <v>1096</v>
      </c>
      <c r="B203" s="58" t="s">
        <v>1088</v>
      </c>
      <c r="C203" s="58" t="s">
        <v>28</v>
      </c>
      <c r="D203" s="48"/>
      <c r="E203" s="48"/>
      <c r="F203" s="48"/>
      <c r="G203" s="48"/>
      <c r="H203" s="48"/>
      <c r="I203" s="48"/>
      <c r="J203" s="53"/>
      <c r="K203" s="48"/>
      <c r="L203" s="50"/>
      <c r="M203" s="55"/>
    </row>
    <row r="204" spans="1:13">
      <c r="A204" s="58" t="s">
        <v>1098</v>
      </c>
      <c r="B204" s="59" t="s">
        <v>1099</v>
      </c>
      <c r="C204" s="58" t="s">
        <v>28</v>
      </c>
      <c r="D204" s="48"/>
      <c r="E204" s="48"/>
      <c r="F204" s="48"/>
      <c r="G204" s="48"/>
      <c r="H204" s="48"/>
      <c r="I204" s="48"/>
      <c r="J204" s="52"/>
      <c r="K204" s="48"/>
      <c r="L204" s="50"/>
      <c r="M204" s="51"/>
    </row>
    <row r="205" spans="1:13">
      <c r="A205" s="58" t="s">
        <v>1100</v>
      </c>
      <c r="B205" s="58" t="s">
        <v>1097</v>
      </c>
      <c r="C205" s="58" t="s">
        <v>28</v>
      </c>
      <c r="D205" s="48"/>
      <c r="E205" s="48"/>
      <c r="F205" s="48"/>
      <c r="G205" s="48"/>
      <c r="H205" s="48"/>
      <c r="I205" s="48"/>
      <c r="J205" s="52"/>
      <c r="K205" s="48"/>
      <c r="L205" s="50"/>
      <c r="M205" s="51"/>
    </row>
    <row r="206" spans="1:13">
      <c r="A206" s="59" t="s">
        <v>1108</v>
      </c>
      <c r="B206" s="59" t="s">
        <v>1103</v>
      </c>
      <c r="C206" s="58" t="s">
        <v>28</v>
      </c>
      <c r="D206" s="48"/>
      <c r="E206" s="48"/>
      <c r="F206" s="48"/>
      <c r="G206" s="48"/>
      <c r="H206" s="48"/>
      <c r="I206" s="48"/>
      <c r="J206" s="52"/>
      <c r="K206" s="48"/>
      <c r="L206" s="50"/>
      <c r="M206" s="51"/>
    </row>
    <row r="207" spans="1:13">
      <c r="A207" s="59" t="s">
        <v>20</v>
      </c>
      <c r="B207" s="59" t="s">
        <v>1105</v>
      </c>
      <c r="C207" s="58" t="s">
        <v>28</v>
      </c>
      <c r="D207" s="48"/>
      <c r="E207" s="48"/>
      <c r="F207" s="48"/>
      <c r="G207" s="48"/>
      <c r="H207" s="48"/>
      <c r="I207" s="48"/>
      <c r="J207" s="52"/>
      <c r="K207" s="48"/>
      <c r="L207" s="50"/>
      <c r="M207" s="51"/>
    </row>
    <row r="208" spans="1:13">
      <c r="A208" s="59" t="s">
        <v>837</v>
      </c>
      <c r="B208" s="59" t="s">
        <v>1104</v>
      </c>
      <c r="C208" s="58" t="s">
        <v>28</v>
      </c>
      <c r="D208" s="48"/>
      <c r="E208" s="48"/>
      <c r="F208" s="48"/>
      <c r="G208" s="48"/>
      <c r="H208" s="48"/>
      <c r="I208" s="48"/>
      <c r="J208" s="52"/>
      <c r="K208" s="48"/>
      <c r="L208" s="50"/>
      <c r="M208" s="51"/>
    </row>
    <row r="209" spans="1:13">
      <c r="A209" s="58" t="s">
        <v>1106</v>
      </c>
      <c r="B209" s="59" t="s">
        <v>1107</v>
      </c>
      <c r="C209" s="58" t="s">
        <v>28</v>
      </c>
      <c r="D209" s="48"/>
      <c r="E209" s="48"/>
      <c r="F209" s="48"/>
      <c r="G209" s="48"/>
      <c r="H209" s="48"/>
      <c r="I209" s="48"/>
      <c r="J209" s="48"/>
      <c r="K209" s="48"/>
      <c r="L209" s="48"/>
      <c r="M209" s="48"/>
    </row>
    <row r="210" spans="1:13">
      <c r="A210" s="58" t="s">
        <v>2</v>
      </c>
      <c r="B210" s="58" t="s">
        <v>1109</v>
      </c>
      <c r="C210" s="58" t="s">
        <v>28</v>
      </c>
      <c r="D210" s="48"/>
      <c r="E210" s="48"/>
      <c r="F210" s="48"/>
      <c r="G210" s="48"/>
      <c r="H210" s="48"/>
      <c r="I210" s="48"/>
      <c r="J210" s="52"/>
      <c r="K210" s="48"/>
      <c r="L210" s="50"/>
      <c r="M210" s="51"/>
    </row>
    <row r="211" spans="1:13">
      <c r="A211" s="58" t="s">
        <v>1110</v>
      </c>
      <c r="B211" s="59" t="s">
        <v>1111</v>
      </c>
      <c r="C211" s="58" t="s">
        <v>29</v>
      </c>
    </row>
    <row r="212" spans="1:13">
      <c r="A212" s="58" t="s">
        <v>1091</v>
      </c>
      <c r="B212" s="58" t="s">
        <v>1147</v>
      </c>
      <c r="C212" s="58" t="s">
        <v>28</v>
      </c>
    </row>
    <row r="213" spans="1:13">
      <c r="A213" s="58" t="s">
        <v>878</v>
      </c>
      <c r="B213" s="59" t="s">
        <v>1112</v>
      </c>
      <c r="C213" s="58" t="s">
        <v>29</v>
      </c>
    </row>
    <row r="214" spans="1:13">
      <c r="A214" s="59" t="s">
        <v>1748</v>
      </c>
      <c r="B214" s="59" t="s">
        <v>1115</v>
      </c>
      <c r="C214" s="58" t="s">
        <v>29</v>
      </c>
    </row>
    <row r="215" spans="1:13" ht="23">
      <c r="A215" s="58" t="s">
        <v>1113</v>
      </c>
      <c r="B215" s="59" t="s">
        <v>1114</v>
      </c>
      <c r="C215" s="58" t="s">
        <v>28</v>
      </c>
      <c r="D215" s="18"/>
    </row>
    <row r="216" spans="1:13">
      <c r="A216" s="58" t="s">
        <v>1117</v>
      </c>
      <c r="B216" s="59" t="s">
        <v>1116</v>
      </c>
      <c r="C216" s="58" t="s">
        <v>29</v>
      </c>
    </row>
    <row r="217" spans="1:13">
      <c r="A217" s="58" t="s">
        <v>1119</v>
      </c>
      <c r="B217" s="59" t="s">
        <v>1118</v>
      </c>
      <c r="C217" s="58" t="s">
        <v>29</v>
      </c>
    </row>
    <row r="218" spans="1:13">
      <c r="A218" s="58" t="s">
        <v>1131</v>
      </c>
      <c r="B218" s="59" t="s">
        <v>1120</v>
      </c>
      <c r="C218" s="58" t="s">
        <v>29</v>
      </c>
    </row>
    <row r="219" spans="1:13">
      <c r="A219" s="58" t="s">
        <v>990</v>
      </c>
      <c r="B219" s="59" t="s">
        <v>1121</v>
      </c>
      <c r="C219" s="58" t="s">
        <v>28</v>
      </c>
    </row>
    <row r="220" spans="1:13">
      <c r="A220" s="58" t="s">
        <v>1752</v>
      </c>
      <c r="B220" s="59" t="s">
        <v>1104</v>
      </c>
      <c r="C220" s="58" t="s">
        <v>28</v>
      </c>
    </row>
    <row r="221" spans="1:13" ht="23">
      <c r="A221" s="18" t="s">
        <v>1808</v>
      </c>
      <c r="B221" s="59" t="s">
        <v>1809</v>
      </c>
      <c r="C221" s="58" t="s">
        <v>28</v>
      </c>
    </row>
    <row r="222" spans="1:13">
      <c r="A222" s="58" t="s">
        <v>1123</v>
      </c>
      <c r="B222" s="59" t="s">
        <v>1122</v>
      </c>
      <c r="C222" s="58" t="s">
        <v>28</v>
      </c>
    </row>
    <row r="223" spans="1:13" ht="23">
      <c r="A223" s="58" t="s">
        <v>1750</v>
      </c>
      <c r="B223" s="18" t="s">
        <v>1749</v>
      </c>
      <c r="C223" s="58" t="s">
        <v>28</v>
      </c>
    </row>
    <row r="224" spans="1:13">
      <c r="A224" s="58" t="s">
        <v>1033</v>
      </c>
      <c r="B224" s="59" t="s">
        <v>1124</v>
      </c>
      <c r="C224" s="58" t="s">
        <v>29</v>
      </c>
    </row>
    <row r="225" spans="1:18">
      <c r="A225" s="58" t="s">
        <v>1126</v>
      </c>
      <c r="B225" s="59" t="s">
        <v>1125</v>
      </c>
      <c r="C225" s="58" t="s">
        <v>28</v>
      </c>
    </row>
    <row r="226" spans="1:18">
      <c r="A226" s="58" t="s">
        <v>1753</v>
      </c>
      <c r="B226" s="59" t="s">
        <v>1127</v>
      </c>
      <c r="C226" s="58" t="s">
        <v>28</v>
      </c>
    </row>
    <row r="227" spans="1:18">
      <c r="A227" s="58" t="s">
        <v>1128</v>
      </c>
      <c r="B227" s="59" t="s">
        <v>1129</v>
      </c>
      <c r="C227" s="58" t="s">
        <v>28</v>
      </c>
    </row>
    <row r="228" spans="1:18">
      <c r="A228" s="58" t="s">
        <v>783</v>
      </c>
      <c r="B228" s="59" t="s">
        <v>1130</v>
      </c>
      <c r="C228" s="58" t="s">
        <v>29</v>
      </c>
    </row>
    <row r="229" spans="1:18">
      <c r="A229" s="58" t="s">
        <v>882</v>
      </c>
      <c r="B229" s="58" t="s">
        <v>1133</v>
      </c>
      <c r="C229" s="58" t="s">
        <v>29</v>
      </c>
      <c r="D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</row>
    <row r="230" spans="1:18">
      <c r="A230" s="58" t="s">
        <v>794</v>
      </c>
      <c r="B230" s="58" t="s">
        <v>1134</v>
      </c>
      <c r="C230" s="58" t="s">
        <v>29</v>
      </c>
      <c r="D230" s="56"/>
    </row>
    <row r="231" spans="1:18">
      <c r="A231" s="58" t="s">
        <v>1053</v>
      </c>
      <c r="B231" s="58" t="s">
        <v>1135</v>
      </c>
      <c r="C231" s="58" t="s">
        <v>29</v>
      </c>
      <c r="D231" s="56"/>
    </row>
    <row r="232" spans="1:18">
      <c r="A232" s="58" t="s">
        <v>1132</v>
      </c>
      <c r="B232" s="58" t="s">
        <v>1136</v>
      </c>
      <c r="C232" s="58" t="s">
        <v>29</v>
      </c>
      <c r="D232" s="56"/>
    </row>
    <row r="233" spans="1:18">
      <c r="A233" s="58" t="s">
        <v>87</v>
      </c>
      <c r="B233" s="58" t="s">
        <v>1137</v>
      </c>
      <c r="C233" s="58" t="s">
        <v>29</v>
      </c>
      <c r="D233" s="56"/>
    </row>
    <row r="234" spans="1:18">
      <c r="A234" s="58" t="s">
        <v>100</v>
      </c>
      <c r="B234" s="58" t="s">
        <v>1138</v>
      </c>
      <c r="C234" s="58" t="s">
        <v>29</v>
      </c>
      <c r="D234" s="56"/>
    </row>
    <row r="235" spans="1:18">
      <c r="A235" s="58" t="s">
        <v>1142</v>
      </c>
      <c r="B235" s="58" t="s">
        <v>1139</v>
      </c>
      <c r="C235" s="58" t="s">
        <v>29</v>
      </c>
      <c r="D235" s="56"/>
    </row>
    <row r="236" spans="1:18">
      <c r="A236" s="58" t="s">
        <v>1143</v>
      </c>
      <c r="B236" s="58" t="s">
        <v>1140</v>
      </c>
      <c r="C236" s="58" t="s">
        <v>29</v>
      </c>
      <c r="D236" s="56"/>
    </row>
    <row r="237" spans="1:18">
      <c r="A237" s="58" t="s">
        <v>1144</v>
      </c>
      <c r="B237" s="58" t="s">
        <v>1141</v>
      </c>
      <c r="C237" s="58" t="s">
        <v>29</v>
      </c>
      <c r="D237" s="56"/>
    </row>
    <row r="238" spans="1:18">
      <c r="A238" s="58" t="s">
        <v>1146</v>
      </c>
      <c r="B238" s="58" t="s">
        <v>1145</v>
      </c>
      <c r="C238" s="58" t="s">
        <v>28</v>
      </c>
      <c r="D238" s="56"/>
    </row>
    <row r="239" spans="1:18" customFormat="1" ht="20">
      <c r="A239" s="58" t="s">
        <v>1146</v>
      </c>
      <c r="B239" s="58" t="s">
        <v>57</v>
      </c>
      <c r="C239" s="63" t="s">
        <v>704</v>
      </c>
      <c r="D239" s="3"/>
    </row>
    <row r="240" spans="1:18">
      <c r="A240" s="74" t="s">
        <v>1185</v>
      </c>
      <c r="B240" s="74" t="s">
        <v>1150</v>
      </c>
      <c r="C240" s="58" t="s">
        <v>29</v>
      </c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6"/>
    </row>
    <row r="241" spans="1:18">
      <c r="A241" s="74" t="s">
        <v>1168</v>
      </c>
      <c r="B241" s="74" t="s">
        <v>1151</v>
      </c>
      <c r="C241" s="58" t="s">
        <v>29</v>
      </c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6"/>
    </row>
    <row r="242" spans="1:18">
      <c r="A242" s="74" t="s">
        <v>1169</v>
      </c>
      <c r="B242" s="74" t="s">
        <v>1152</v>
      </c>
      <c r="C242" s="58" t="s">
        <v>29</v>
      </c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6"/>
    </row>
    <row r="243" spans="1:18">
      <c r="A243" s="74" t="s">
        <v>1170</v>
      </c>
      <c r="B243" s="74" t="s">
        <v>1153</v>
      </c>
      <c r="C243" s="58" t="s">
        <v>29</v>
      </c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6"/>
    </row>
    <row r="244" spans="1:18">
      <c r="A244" s="74" t="s">
        <v>1171</v>
      </c>
      <c r="B244" s="74" t="s">
        <v>1154</v>
      </c>
      <c r="C244" s="58" t="s">
        <v>29</v>
      </c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6"/>
    </row>
    <row r="245" spans="1:18">
      <c r="A245" s="74" t="s">
        <v>1172</v>
      </c>
      <c r="B245" s="74" t="s">
        <v>1155</v>
      </c>
      <c r="C245" s="58" t="s">
        <v>29</v>
      </c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6"/>
    </row>
    <row r="246" spans="1:18">
      <c r="A246" s="74" t="s">
        <v>1173</v>
      </c>
      <c r="B246" s="74" t="s">
        <v>1156</v>
      </c>
      <c r="C246" s="58" t="s">
        <v>29</v>
      </c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6"/>
    </row>
    <row r="247" spans="1:18">
      <c r="A247" s="74" t="s">
        <v>1174</v>
      </c>
      <c r="B247" s="74" t="s">
        <v>1157</v>
      </c>
      <c r="C247" s="58" t="s">
        <v>29</v>
      </c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6"/>
    </row>
    <row r="248" spans="1:18">
      <c r="A248" s="74" t="s">
        <v>1175</v>
      </c>
      <c r="B248" s="74" t="s">
        <v>1158</v>
      </c>
      <c r="C248" s="58" t="s">
        <v>29</v>
      </c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6"/>
    </row>
    <row r="249" spans="1:18">
      <c r="A249" s="74" t="s">
        <v>1176</v>
      </c>
      <c r="B249" s="74" t="s">
        <v>1159</v>
      </c>
      <c r="C249" s="58" t="s">
        <v>29</v>
      </c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6"/>
    </row>
    <row r="250" spans="1:18">
      <c r="A250" s="74" t="s">
        <v>1177</v>
      </c>
      <c r="B250" s="74" t="s">
        <v>1160</v>
      </c>
      <c r="C250" s="58" t="s">
        <v>29</v>
      </c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6"/>
    </row>
    <row r="251" spans="1:18">
      <c r="A251" s="74" t="s">
        <v>1178</v>
      </c>
      <c r="B251" s="74" t="s">
        <v>1161</v>
      </c>
      <c r="C251" s="58" t="s">
        <v>29</v>
      </c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6"/>
    </row>
    <row r="252" spans="1:18">
      <c r="A252" s="74" t="s">
        <v>1179</v>
      </c>
      <c r="B252" s="74" t="s">
        <v>1162</v>
      </c>
      <c r="C252" s="58" t="s">
        <v>29</v>
      </c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6"/>
    </row>
    <row r="253" spans="1:18">
      <c r="A253" s="74" t="s">
        <v>1180</v>
      </c>
      <c r="B253" s="74" t="s">
        <v>1163</v>
      </c>
      <c r="C253" s="58" t="s">
        <v>29</v>
      </c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6"/>
    </row>
    <row r="254" spans="1:18">
      <c r="A254" s="74" t="s">
        <v>1181</v>
      </c>
      <c r="B254" s="74" t="s">
        <v>1164</v>
      </c>
      <c r="C254" s="58" t="s">
        <v>29</v>
      </c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6"/>
    </row>
    <row r="255" spans="1:18">
      <c r="A255" s="74" t="s">
        <v>1182</v>
      </c>
      <c r="B255" s="74" t="s">
        <v>1165</v>
      </c>
      <c r="C255" s="58" t="s">
        <v>29</v>
      </c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6"/>
    </row>
    <row r="256" spans="1:18">
      <c r="A256" s="74" t="s">
        <v>1183</v>
      </c>
      <c r="B256" s="74" t="s">
        <v>1166</v>
      </c>
      <c r="C256" s="58" t="s">
        <v>29</v>
      </c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6"/>
    </row>
    <row r="257" spans="1:18">
      <c r="A257" s="74" t="s">
        <v>1184</v>
      </c>
      <c r="B257" s="74" t="s">
        <v>1167</v>
      </c>
      <c r="C257" s="58" t="s">
        <v>29</v>
      </c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6"/>
    </row>
    <row r="258" spans="1:18">
      <c r="A258" s="41" t="s">
        <v>1264</v>
      </c>
      <c r="B258" s="41" t="s">
        <v>1186</v>
      </c>
      <c r="C258" s="41" t="s">
        <v>819</v>
      </c>
    </row>
    <row r="259" spans="1:18">
      <c r="A259" s="41" t="s">
        <v>1265</v>
      </c>
      <c r="B259" s="41" t="s">
        <v>1187</v>
      </c>
      <c r="C259" s="41" t="s">
        <v>29</v>
      </c>
    </row>
    <row r="260" spans="1:18">
      <c r="A260" s="41" t="s">
        <v>113</v>
      </c>
      <c r="B260" s="41" t="s">
        <v>1188</v>
      </c>
      <c r="C260" s="41" t="s">
        <v>29</v>
      </c>
    </row>
    <row r="261" spans="1:18">
      <c r="A261" s="41" t="s">
        <v>1044</v>
      </c>
      <c r="B261" s="41" t="s">
        <v>1189</v>
      </c>
      <c r="C261" s="41" t="s">
        <v>29</v>
      </c>
    </row>
    <row r="262" spans="1:18">
      <c r="A262" s="41" t="s">
        <v>1266</v>
      </c>
      <c r="B262" s="41" t="s">
        <v>1190</v>
      </c>
      <c r="C262" s="41" t="s">
        <v>28</v>
      </c>
    </row>
    <row r="263" spans="1:18">
      <c r="A263" s="41" t="s">
        <v>882</v>
      </c>
      <c r="B263" s="41" t="s">
        <v>1191</v>
      </c>
      <c r="C263" s="41" t="s">
        <v>29</v>
      </c>
    </row>
    <row r="264" spans="1:18">
      <c r="A264" s="41" t="s">
        <v>794</v>
      </c>
      <c r="B264" s="41" t="s">
        <v>1084</v>
      </c>
      <c r="C264" s="41" t="s">
        <v>29</v>
      </c>
    </row>
    <row r="265" spans="1:18">
      <c r="A265" s="41" t="s">
        <v>157</v>
      </c>
      <c r="B265" s="41" t="s">
        <v>1192</v>
      </c>
      <c r="C265" s="41" t="s">
        <v>29</v>
      </c>
    </row>
    <row r="266" spans="1:18">
      <c r="A266" s="41" t="s">
        <v>144</v>
      </c>
      <c r="B266" s="41" t="s">
        <v>1193</v>
      </c>
      <c r="C266" s="41" t="s">
        <v>29</v>
      </c>
    </row>
    <row r="267" spans="1:18">
      <c r="A267" s="41" t="s">
        <v>1267</v>
      </c>
      <c r="B267" s="41" t="s">
        <v>1194</v>
      </c>
      <c r="C267" s="41" t="s">
        <v>28</v>
      </c>
    </row>
    <row r="268" spans="1:18">
      <c r="A268" s="41" t="s">
        <v>1053</v>
      </c>
      <c r="B268" s="41" t="s">
        <v>1195</v>
      </c>
      <c r="C268" s="41" t="s">
        <v>29</v>
      </c>
    </row>
    <row r="269" spans="1:18">
      <c r="A269" s="41" t="s">
        <v>1268</v>
      </c>
      <c r="B269" s="41" t="s">
        <v>1196</v>
      </c>
      <c r="C269" s="41" t="s">
        <v>29</v>
      </c>
    </row>
    <row r="270" spans="1:18">
      <c r="A270" s="41" t="s">
        <v>1269</v>
      </c>
      <c r="B270" s="41" t="s">
        <v>1197</v>
      </c>
      <c r="C270" s="41" t="s">
        <v>29</v>
      </c>
    </row>
    <row r="271" spans="1:18">
      <c r="A271" s="41" t="s">
        <v>1270</v>
      </c>
      <c r="B271" s="41" t="s">
        <v>1198</v>
      </c>
      <c r="C271" s="41" t="s">
        <v>29</v>
      </c>
    </row>
    <row r="272" spans="1:18">
      <c r="A272" s="41" t="s">
        <v>1271</v>
      </c>
      <c r="B272" s="41" t="s">
        <v>1199</v>
      </c>
      <c r="C272" s="41" t="s">
        <v>29</v>
      </c>
    </row>
    <row r="273" spans="1:3">
      <c r="A273" s="41" t="s">
        <v>1272</v>
      </c>
      <c r="B273" s="41" t="s">
        <v>1200</v>
      </c>
      <c r="C273" s="41" t="s">
        <v>29</v>
      </c>
    </row>
    <row r="274" spans="1:3">
      <c r="A274" s="41" t="s">
        <v>1273</v>
      </c>
      <c r="B274" s="41" t="s">
        <v>1201</v>
      </c>
      <c r="C274" s="41" t="s">
        <v>29</v>
      </c>
    </row>
    <row r="275" spans="1:3">
      <c r="A275" s="41" t="s">
        <v>140</v>
      </c>
      <c r="B275" s="41" t="s">
        <v>1202</v>
      </c>
      <c r="C275" s="41" t="s">
        <v>29</v>
      </c>
    </row>
    <row r="276" spans="1:3">
      <c r="A276" s="41" t="s">
        <v>2124</v>
      </c>
      <c r="B276" s="41" t="s">
        <v>1203</v>
      </c>
      <c r="C276" s="41" t="s">
        <v>28</v>
      </c>
    </row>
    <row r="277" spans="1:3">
      <c r="A277" s="41" t="s">
        <v>1274</v>
      </c>
      <c r="B277" s="41" t="s">
        <v>1204</v>
      </c>
      <c r="C277" s="41" t="s">
        <v>29</v>
      </c>
    </row>
    <row r="278" spans="1:3">
      <c r="A278" s="41" t="s">
        <v>1275</v>
      </c>
      <c r="B278" s="41" t="s">
        <v>1205</v>
      </c>
      <c r="C278" s="41" t="s">
        <v>29</v>
      </c>
    </row>
    <row r="279" spans="1:3">
      <c r="A279" s="41" t="s">
        <v>1060</v>
      </c>
      <c r="B279" s="41" t="s">
        <v>1206</v>
      </c>
      <c r="C279" s="41" t="s">
        <v>29</v>
      </c>
    </row>
    <row r="280" spans="1:3">
      <c r="A280" s="41" t="s">
        <v>295</v>
      </c>
      <c r="B280" s="41" t="s">
        <v>1207</v>
      </c>
      <c r="C280" s="41" t="s">
        <v>29</v>
      </c>
    </row>
    <row r="281" spans="1:3">
      <c r="A281" s="41" t="s">
        <v>122</v>
      </c>
      <c r="B281" s="41" t="s">
        <v>1208</v>
      </c>
      <c r="C281" s="41" t="s">
        <v>29</v>
      </c>
    </row>
    <row r="282" spans="1:3">
      <c r="A282" s="41" t="s">
        <v>1276</v>
      </c>
      <c r="B282" s="41" t="s">
        <v>1209</v>
      </c>
      <c r="C282" s="41" t="s">
        <v>29</v>
      </c>
    </row>
    <row r="283" spans="1:3">
      <c r="A283" s="41" t="s">
        <v>1277</v>
      </c>
      <c r="B283" s="41" t="s">
        <v>1210</v>
      </c>
      <c r="C283" s="41" t="s">
        <v>29</v>
      </c>
    </row>
    <row r="284" spans="1:3">
      <c r="A284" s="41" t="s">
        <v>1278</v>
      </c>
      <c r="B284" s="41" t="s">
        <v>1211</v>
      </c>
      <c r="C284" s="41" t="s">
        <v>29</v>
      </c>
    </row>
    <row r="285" spans="1:3">
      <c r="A285" s="41" t="s">
        <v>1279</v>
      </c>
      <c r="B285" s="41" t="s">
        <v>1212</v>
      </c>
      <c r="C285" s="41" t="s">
        <v>29</v>
      </c>
    </row>
    <row r="286" spans="1:3">
      <c r="A286" s="41" t="s">
        <v>1280</v>
      </c>
      <c r="B286" s="41" t="s">
        <v>1213</v>
      </c>
      <c r="C286" s="41" t="s">
        <v>29</v>
      </c>
    </row>
    <row r="287" spans="1:3">
      <c r="A287" s="41" t="s">
        <v>238</v>
      </c>
      <c r="B287" s="41" t="s">
        <v>1214</v>
      </c>
      <c r="C287" s="41" t="s">
        <v>29</v>
      </c>
    </row>
    <row r="288" spans="1:3">
      <c r="A288" s="41" t="s">
        <v>1281</v>
      </c>
      <c r="B288" s="41" t="s">
        <v>1215</v>
      </c>
      <c r="C288" s="41" t="s">
        <v>29</v>
      </c>
    </row>
    <row r="289" spans="1:3">
      <c r="A289" s="41" t="s">
        <v>1282</v>
      </c>
      <c r="B289" s="41" t="s">
        <v>1216</v>
      </c>
      <c r="C289" s="41" t="s">
        <v>29</v>
      </c>
    </row>
    <row r="290" spans="1:3">
      <c r="A290" s="41" t="s">
        <v>1283</v>
      </c>
      <c r="B290" s="41" t="s">
        <v>1217</v>
      </c>
      <c r="C290" s="41" t="s">
        <v>29</v>
      </c>
    </row>
    <row r="291" spans="1:3">
      <c r="A291" s="41" t="s">
        <v>1284</v>
      </c>
      <c r="B291" s="41" t="s">
        <v>1218</v>
      </c>
      <c r="C291" s="41" t="s">
        <v>29</v>
      </c>
    </row>
    <row r="292" spans="1:3">
      <c r="A292" s="41" t="s">
        <v>1285</v>
      </c>
      <c r="B292" s="41" t="s">
        <v>1219</v>
      </c>
      <c r="C292" s="41" t="s">
        <v>29</v>
      </c>
    </row>
    <row r="293" spans="1:3">
      <c r="A293" s="41" t="s">
        <v>82</v>
      </c>
      <c r="B293" s="41" t="s">
        <v>1220</v>
      </c>
      <c r="C293" s="41" t="s">
        <v>29</v>
      </c>
    </row>
    <row r="294" spans="1:3">
      <c r="A294" s="41" t="s">
        <v>189</v>
      </c>
      <c r="B294" s="41" t="s">
        <v>1221</v>
      </c>
      <c r="C294" s="41" t="s">
        <v>29</v>
      </c>
    </row>
    <row r="295" spans="1:3">
      <c r="A295" s="41" t="s">
        <v>2125</v>
      </c>
      <c r="B295" s="41" t="s">
        <v>2126</v>
      </c>
      <c r="C295" s="41" t="s">
        <v>28</v>
      </c>
    </row>
    <row r="296" spans="1:3">
      <c r="A296" s="41" t="s">
        <v>1286</v>
      </c>
      <c r="B296" s="41" t="s">
        <v>1222</v>
      </c>
      <c r="C296" s="41" t="s">
        <v>29</v>
      </c>
    </row>
    <row r="297" spans="1:3">
      <c r="A297" s="41" t="s">
        <v>1287</v>
      </c>
      <c r="B297" s="41" t="s">
        <v>1223</v>
      </c>
      <c r="C297" s="41" t="s">
        <v>29</v>
      </c>
    </row>
    <row r="298" spans="1:3">
      <c r="A298" s="41" t="s">
        <v>1288</v>
      </c>
      <c r="B298" s="41" t="s">
        <v>1224</v>
      </c>
      <c r="C298" s="41" t="s">
        <v>29</v>
      </c>
    </row>
    <row r="299" spans="1:3">
      <c r="A299" s="41" t="s">
        <v>1289</v>
      </c>
      <c r="B299" s="41" t="s">
        <v>1225</v>
      </c>
      <c r="C299" s="41" t="s">
        <v>29</v>
      </c>
    </row>
    <row r="300" spans="1:3">
      <c r="A300" s="41" t="s">
        <v>1290</v>
      </c>
      <c r="B300" s="41" t="s">
        <v>1226</v>
      </c>
      <c r="C300" s="41" t="s">
        <v>29</v>
      </c>
    </row>
    <row r="301" spans="1:3">
      <c r="A301" s="41" t="s">
        <v>1023</v>
      </c>
      <c r="B301" s="41" t="s">
        <v>1227</v>
      </c>
      <c r="C301" s="41" t="s">
        <v>28</v>
      </c>
    </row>
    <row r="302" spans="1:3">
      <c r="A302" s="41" t="s">
        <v>1291</v>
      </c>
      <c r="B302" s="41" t="s">
        <v>1228</v>
      </c>
      <c r="C302" s="41" t="s">
        <v>29</v>
      </c>
    </row>
    <row r="303" spans="1:3">
      <c r="A303" s="41" t="s">
        <v>1022</v>
      </c>
      <c r="B303" s="41" t="s">
        <v>1229</v>
      </c>
      <c r="C303" s="41" t="s">
        <v>28</v>
      </c>
    </row>
    <row r="304" spans="1:3">
      <c r="A304" s="41" t="s">
        <v>1292</v>
      </c>
      <c r="B304" s="41" t="s">
        <v>1230</v>
      </c>
      <c r="C304" s="41" t="s">
        <v>29</v>
      </c>
    </row>
    <row r="305" spans="1:3">
      <c r="A305" s="41" t="s">
        <v>1293</v>
      </c>
      <c r="B305" s="41" t="s">
        <v>1231</v>
      </c>
      <c r="C305" s="41" t="s">
        <v>29</v>
      </c>
    </row>
    <row r="306" spans="1:3">
      <c r="A306" s="41" t="s">
        <v>1294</v>
      </c>
      <c r="B306" s="41" t="s">
        <v>1232</v>
      </c>
      <c r="C306" s="41" t="s">
        <v>29</v>
      </c>
    </row>
    <row r="307" spans="1:3">
      <c r="A307" s="41" t="s">
        <v>813</v>
      </c>
      <c r="B307" s="41" t="s">
        <v>1233</v>
      </c>
      <c r="C307" s="41" t="s">
        <v>29</v>
      </c>
    </row>
    <row r="308" spans="1:3">
      <c r="A308" s="41" t="s">
        <v>1295</v>
      </c>
      <c r="B308" s="41" t="s">
        <v>1234</v>
      </c>
      <c r="C308" s="41" t="s">
        <v>29</v>
      </c>
    </row>
    <row r="309" spans="1:3">
      <c r="A309" s="41" t="s">
        <v>87</v>
      </c>
      <c r="B309" s="41" t="s">
        <v>1235</v>
      </c>
      <c r="C309" s="41" t="s">
        <v>29</v>
      </c>
    </row>
    <row r="310" spans="1:3">
      <c r="A310" s="41" t="s">
        <v>1296</v>
      </c>
      <c r="B310" s="41" t="s">
        <v>1236</v>
      </c>
      <c r="C310" s="41" t="s">
        <v>29</v>
      </c>
    </row>
    <row r="311" spans="1:3">
      <c r="A311" s="41" t="s">
        <v>1297</v>
      </c>
      <c r="B311" s="41" t="s">
        <v>1237</v>
      </c>
      <c r="C311" s="41" t="s">
        <v>819</v>
      </c>
    </row>
    <row r="312" spans="1:3">
      <c r="A312" s="41" t="s">
        <v>1298</v>
      </c>
      <c r="B312" s="41" t="s">
        <v>1238</v>
      </c>
      <c r="C312" s="41" t="s">
        <v>29</v>
      </c>
    </row>
    <row r="313" spans="1:3">
      <c r="A313" s="41" t="s">
        <v>1028</v>
      </c>
      <c r="B313" s="41" t="s">
        <v>1239</v>
      </c>
      <c r="C313" s="41" t="s">
        <v>29</v>
      </c>
    </row>
    <row r="314" spans="1:3">
      <c r="A314" s="41" t="s">
        <v>1299</v>
      </c>
      <c r="B314" s="41" t="s">
        <v>1240</v>
      </c>
      <c r="C314" s="41" t="s">
        <v>29</v>
      </c>
    </row>
    <row r="315" spans="1:3">
      <c r="A315" s="41" t="s">
        <v>1313</v>
      </c>
      <c r="B315" s="41" t="s">
        <v>1241</v>
      </c>
      <c r="C315" s="41" t="s">
        <v>28</v>
      </c>
    </row>
    <row r="316" spans="1:3">
      <c r="A316" s="41" t="s">
        <v>76</v>
      </c>
      <c r="B316" s="41" t="s">
        <v>1242</v>
      </c>
      <c r="C316" s="41" t="s">
        <v>29</v>
      </c>
    </row>
    <row r="317" spans="1:3">
      <c r="A317" s="41" t="s">
        <v>1064</v>
      </c>
      <c r="B317" s="41" t="s">
        <v>1243</v>
      </c>
      <c r="C317" s="41" t="s">
        <v>29</v>
      </c>
    </row>
    <row r="318" spans="1:3">
      <c r="A318" s="41" t="s">
        <v>96</v>
      </c>
      <c r="B318" s="41" t="s">
        <v>1244</v>
      </c>
      <c r="C318" s="41" t="s">
        <v>29</v>
      </c>
    </row>
    <row r="319" spans="1:3">
      <c r="A319" s="41" t="s">
        <v>1300</v>
      </c>
      <c r="B319" s="41" t="s">
        <v>1245</v>
      </c>
      <c r="C319" s="41" t="s">
        <v>29</v>
      </c>
    </row>
    <row r="320" spans="1:3">
      <c r="A320" s="41" t="s">
        <v>1301</v>
      </c>
      <c r="B320" s="41" t="s">
        <v>1246</v>
      </c>
      <c r="C320" s="41" t="s">
        <v>29</v>
      </c>
    </row>
    <row r="321" spans="1:3">
      <c r="A321" s="41" t="s">
        <v>1302</v>
      </c>
      <c r="B321" s="41" t="s">
        <v>1247</v>
      </c>
      <c r="C321" s="41" t="s">
        <v>29</v>
      </c>
    </row>
    <row r="322" spans="1:3">
      <c r="A322" s="41" t="s">
        <v>1303</v>
      </c>
      <c r="B322" s="41" t="s">
        <v>1149</v>
      </c>
      <c r="C322" s="41" t="s">
        <v>29</v>
      </c>
    </row>
    <row r="323" spans="1:3">
      <c r="A323" s="41" t="s">
        <v>1271</v>
      </c>
      <c r="B323" s="41" t="s">
        <v>1248</v>
      </c>
      <c r="C323" s="41" t="s">
        <v>29</v>
      </c>
    </row>
    <row r="324" spans="1:3">
      <c r="A324" s="41" t="s">
        <v>1304</v>
      </c>
      <c r="B324" s="41" t="s">
        <v>1249</v>
      </c>
      <c r="C324" s="41" t="s">
        <v>29</v>
      </c>
    </row>
    <row r="325" spans="1:3">
      <c r="A325" s="41" t="s">
        <v>1305</v>
      </c>
      <c r="B325" s="41" t="s">
        <v>1250</v>
      </c>
      <c r="C325" s="41" t="s">
        <v>29</v>
      </c>
    </row>
    <row r="326" spans="1:3">
      <c r="A326" s="41" t="s">
        <v>1306</v>
      </c>
      <c r="B326" s="41" t="s">
        <v>1251</v>
      </c>
      <c r="C326" s="41" t="s">
        <v>28</v>
      </c>
    </row>
    <row r="327" spans="1:3">
      <c r="A327" s="41" t="s">
        <v>743</v>
      </c>
      <c r="B327" s="41" t="s">
        <v>1252</v>
      </c>
      <c r="C327" s="41" t="s">
        <v>29</v>
      </c>
    </row>
    <row r="328" spans="1:3">
      <c r="A328" s="41" t="s">
        <v>1314</v>
      </c>
      <c r="B328" s="41" t="s">
        <v>1253</v>
      </c>
      <c r="C328" s="41" t="s">
        <v>29</v>
      </c>
    </row>
    <row r="329" spans="1:3">
      <c r="A329" s="41" t="s">
        <v>1307</v>
      </c>
      <c r="B329" s="41" t="s">
        <v>1254</v>
      </c>
      <c r="C329" s="41" t="s">
        <v>29</v>
      </c>
    </row>
    <row r="330" spans="1:3">
      <c r="A330" s="41" t="s">
        <v>1308</v>
      </c>
      <c r="B330" s="41" t="s">
        <v>1255</v>
      </c>
      <c r="C330" s="41" t="s">
        <v>29</v>
      </c>
    </row>
    <row r="331" spans="1:3">
      <c r="A331" s="41" t="s">
        <v>1309</v>
      </c>
      <c r="B331" s="41" t="s">
        <v>1256</v>
      </c>
      <c r="C331" s="41" t="s">
        <v>29</v>
      </c>
    </row>
    <row r="332" spans="1:3">
      <c r="A332" s="41" t="s">
        <v>1310</v>
      </c>
      <c r="B332" s="41" t="s">
        <v>1257</v>
      </c>
      <c r="C332" s="41" t="s">
        <v>29</v>
      </c>
    </row>
    <row r="333" spans="1:3">
      <c r="A333" s="41" t="s">
        <v>1048</v>
      </c>
      <c r="B333" s="41" t="s">
        <v>1258</v>
      </c>
      <c r="C333" s="41" t="s">
        <v>29</v>
      </c>
    </row>
    <row r="334" spans="1:3">
      <c r="A334" s="41" t="s">
        <v>1027</v>
      </c>
      <c r="B334" s="41" t="s">
        <v>1259</v>
      </c>
      <c r="C334" s="41" t="s">
        <v>29</v>
      </c>
    </row>
    <row r="335" spans="1:3">
      <c r="A335" s="41" t="s">
        <v>912</v>
      </c>
      <c r="B335" s="41" t="s">
        <v>1260</v>
      </c>
      <c r="C335" s="41" t="s">
        <v>28</v>
      </c>
    </row>
    <row r="336" spans="1:3">
      <c r="A336" s="41" t="s">
        <v>1311</v>
      </c>
      <c r="B336" s="41" t="s">
        <v>1261</v>
      </c>
      <c r="C336" s="41" t="s">
        <v>29</v>
      </c>
    </row>
    <row r="337" spans="1:13">
      <c r="A337" s="41" t="s">
        <v>104</v>
      </c>
      <c r="B337" s="41" t="s">
        <v>1262</v>
      </c>
      <c r="C337" s="41" t="s">
        <v>29</v>
      </c>
    </row>
    <row r="338" spans="1:13">
      <c r="A338" s="41" t="s">
        <v>1312</v>
      </c>
      <c r="B338" s="41" t="s">
        <v>1263</v>
      </c>
      <c r="C338" s="41" t="s">
        <v>29</v>
      </c>
    </row>
    <row r="339" spans="1:13" ht="23">
      <c r="A339" s="41" t="s">
        <v>820</v>
      </c>
      <c r="B339" s="18" t="s">
        <v>1032</v>
      </c>
      <c r="C339" s="41" t="s">
        <v>29</v>
      </c>
      <c r="D339" s="42">
        <v>34</v>
      </c>
      <c r="E339" s="46">
        <f>D339/$E$348</f>
        <v>0.35051546391752575</v>
      </c>
    </row>
    <row r="340" spans="1:13" ht="23">
      <c r="A340" s="41" t="s">
        <v>1317</v>
      </c>
      <c r="B340" s="18" t="s">
        <v>1318</v>
      </c>
      <c r="C340" s="41" t="s">
        <v>704</v>
      </c>
      <c r="D340" s="42">
        <v>9</v>
      </c>
      <c r="E340" s="46">
        <f t="shared" ref="E340:E347" si="0">D340/$E$348</f>
        <v>9.2783505154639179E-2</v>
      </c>
    </row>
    <row r="341" spans="1:13" ht="23">
      <c r="A341" s="41" t="s">
        <v>1319</v>
      </c>
      <c r="B341" s="18" t="s">
        <v>1320</v>
      </c>
      <c r="C341" s="41" t="s">
        <v>29</v>
      </c>
      <c r="D341" s="42">
        <v>8</v>
      </c>
      <c r="E341" s="46">
        <f t="shared" si="0"/>
        <v>8.247422680412371E-2</v>
      </c>
    </row>
    <row r="342" spans="1:13" ht="23">
      <c r="A342" s="18" t="s">
        <v>1754</v>
      </c>
      <c r="B342" s="18" t="s">
        <v>1322</v>
      </c>
      <c r="C342" s="41" t="s">
        <v>29</v>
      </c>
      <c r="D342" s="42">
        <v>7</v>
      </c>
      <c r="E342" s="46">
        <f t="shared" si="0"/>
        <v>7.2164948453608241E-2</v>
      </c>
    </row>
    <row r="343" spans="1:13" ht="23">
      <c r="A343" s="41" t="s">
        <v>59</v>
      </c>
      <c r="B343" s="18" t="s">
        <v>1321</v>
      </c>
      <c r="C343" s="41" t="s">
        <v>28</v>
      </c>
      <c r="D343" s="42">
        <v>3</v>
      </c>
      <c r="E343" s="46"/>
    </row>
    <row r="344" spans="1:13" ht="23">
      <c r="A344" s="41" t="s">
        <v>1270</v>
      </c>
      <c r="B344" s="18" t="s">
        <v>1734</v>
      </c>
      <c r="C344" s="41" t="s">
        <v>29</v>
      </c>
      <c r="D344" s="56">
        <v>5</v>
      </c>
      <c r="E344" s="46">
        <f t="shared" si="0"/>
        <v>5.1546391752577317E-2</v>
      </c>
    </row>
    <row r="345" spans="1:13" ht="23">
      <c r="A345" s="41" t="s">
        <v>1735</v>
      </c>
      <c r="B345" s="18" t="s">
        <v>1736</v>
      </c>
      <c r="C345" s="41" t="s">
        <v>28</v>
      </c>
      <c r="D345" s="56">
        <v>9</v>
      </c>
      <c r="E345" s="46">
        <f t="shared" si="0"/>
        <v>9.2783505154639179E-2</v>
      </c>
    </row>
    <row r="346" spans="1:13" ht="23">
      <c r="A346" s="41" t="s">
        <v>1737</v>
      </c>
      <c r="B346" s="18" t="s">
        <v>1738</v>
      </c>
      <c r="C346" s="41" t="s">
        <v>28</v>
      </c>
      <c r="D346" s="56">
        <v>7</v>
      </c>
      <c r="E346" s="46">
        <f t="shared" si="0"/>
        <v>7.2164948453608241E-2</v>
      </c>
    </row>
    <row r="347" spans="1:13" ht="23">
      <c r="A347" s="41" t="s">
        <v>1739</v>
      </c>
      <c r="B347" s="18" t="s">
        <v>1740</v>
      </c>
      <c r="C347" s="41" t="s">
        <v>28</v>
      </c>
      <c r="D347" s="56">
        <v>18</v>
      </c>
      <c r="E347" s="46">
        <f t="shared" si="0"/>
        <v>0.18556701030927836</v>
      </c>
    </row>
    <row r="348" spans="1:13" ht="23">
      <c r="A348" s="41" t="s">
        <v>714</v>
      </c>
      <c r="B348" s="18" t="s">
        <v>1755</v>
      </c>
      <c r="C348" s="41" t="s">
        <v>29</v>
      </c>
      <c r="D348" s="56"/>
      <c r="E348" s="56">
        <v>97</v>
      </c>
    </row>
    <row r="349" spans="1:13" ht="23">
      <c r="A349" s="41" t="s">
        <v>1068</v>
      </c>
      <c r="B349" s="18" t="s">
        <v>1741</v>
      </c>
      <c r="C349" s="41" t="s">
        <v>29</v>
      </c>
      <c r="D349" s="56"/>
      <c r="E349" s="56"/>
    </row>
    <row r="350" spans="1:13" ht="23">
      <c r="A350" s="41" t="s">
        <v>1742</v>
      </c>
      <c r="B350" s="18" t="s">
        <v>1743</v>
      </c>
      <c r="C350" s="41" t="s">
        <v>29</v>
      </c>
      <c r="D350" s="56"/>
      <c r="E350" s="56"/>
      <c r="G350" s="84"/>
      <c r="H350" s="84"/>
      <c r="I350" s="84"/>
      <c r="J350" s="84"/>
      <c r="K350" s="84"/>
      <c r="L350" s="84"/>
      <c r="M350" s="84"/>
    </row>
    <row r="351" spans="1:13">
      <c r="A351" s="41" t="s">
        <v>1757</v>
      </c>
      <c r="B351" s="41" t="s">
        <v>1756</v>
      </c>
      <c r="C351" s="41" t="s">
        <v>28</v>
      </c>
      <c r="D351" s="56"/>
      <c r="E351" s="56"/>
    </row>
    <row r="352" spans="1:13" ht="23">
      <c r="A352" s="41" t="s">
        <v>1090</v>
      </c>
      <c r="B352" s="18" t="s">
        <v>853</v>
      </c>
      <c r="C352" s="41" t="s">
        <v>28</v>
      </c>
    </row>
    <row r="353" spans="1:3" ht="23">
      <c r="A353" s="41" t="s">
        <v>974</v>
      </c>
      <c r="B353" s="18" t="s">
        <v>1758</v>
      </c>
      <c r="C353" s="41" t="s">
        <v>28</v>
      </c>
    </row>
    <row r="354" spans="1:3" ht="23">
      <c r="A354" s="41" t="s">
        <v>1089</v>
      </c>
      <c r="B354" s="18" t="s">
        <v>1759</v>
      </c>
      <c r="C354" s="41" t="s">
        <v>28</v>
      </c>
    </row>
    <row r="355" spans="1:3" ht="23">
      <c r="A355" s="41" t="s">
        <v>1760</v>
      </c>
      <c r="B355" s="18" t="s">
        <v>1761</v>
      </c>
      <c r="C355" s="41" t="s">
        <v>28</v>
      </c>
    </row>
    <row r="356" spans="1:3" ht="23">
      <c r="A356" s="41" t="s">
        <v>1762</v>
      </c>
      <c r="B356" s="18" t="s">
        <v>835</v>
      </c>
      <c r="C356" s="41" t="s">
        <v>28</v>
      </c>
    </row>
    <row r="357" spans="1:3" ht="23">
      <c r="A357" s="41" t="s">
        <v>1763</v>
      </c>
      <c r="B357" s="18" t="s">
        <v>1764</v>
      </c>
      <c r="C357" s="41" t="s">
        <v>28</v>
      </c>
    </row>
    <row r="358" spans="1:3" ht="23">
      <c r="A358" s="18" t="s">
        <v>1811</v>
      </c>
      <c r="B358" s="18" t="s">
        <v>1812</v>
      </c>
      <c r="C358" s="41" t="s">
        <v>28</v>
      </c>
    </row>
    <row r="359" spans="1:3" ht="23">
      <c r="A359" s="18" t="s">
        <v>1813</v>
      </c>
      <c r="B359" s="41" t="s">
        <v>1814</v>
      </c>
      <c r="C359" s="41" t="s">
        <v>28</v>
      </c>
    </row>
    <row r="360" spans="1:3" ht="23">
      <c r="A360" s="41" t="s">
        <v>1089</v>
      </c>
      <c r="B360" s="18" t="s">
        <v>1815</v>
      </c>
      <c r="C360" s="41" t="s">
        <v>28</v>
      </c>
    </row>
    <row r="361" spans="1:3" ht="23">
      <c r="A361" s="41" t="s">
        <v>1747</v>
      </c>
      <c r="B361" s="18" t="s">
        <v>1823</v>
      </c>
      <c r="C361" s="41" t="s">
        <v>28</v>
      </c>
    </row>
    <row r="362" spans="1:3" ht="23">
      <c r="A362" s="41" t="s">
        <v>1811</v>
      </c>
      <c r="B362" s="18" t="s">
        <v>1816</v>
      </c>
      <c r="C362" s="41" t="s">
        <v>28</v>
      </c>
    </row>
    <row r="363" spans="1:3" ht="23">
      <c r="A363" s="41" t="s">
        <v>783</v>
      </c>
      <c r="B363" s="18" t="s">
        <v>1130</v>
      </c>
      <c r="C363" s="41" t="s">
        <v>29</v>
      </c>
    </row>
    <row r="364" spans="1:3" ht="23">
      <c r="A364" s="41" t="s">
        <v>1817</v>
      </c>
      <c r="B364" s="18" t="s">
        <v>1818</v>
      </c>
      <c r="C364" s="41" t="s">
        <v>28</v>
      </c>
    </row>
    <row r="365" spans="1:3" ht="23">
      <c r="A365" s="41" t="s">
        <v>895</v>
      </c>
      <c r="B365" s="18" t="s">
        <v>1819</v>
      </c>
      <c r="C365" s="41" t="s">
        <v>29</v>
      </c>
    </row>
    <row r="366" spans="1:3" ht="23">
      <c r="A366" s="41" t="s">
        <v>887</v>
      </c>
      <c r="B366" s="18" t="s">
        <v>1820</v>
      </c>
      <c r="C366" s="41" t="s">
        <v>28</v>
      </c>
    </row>
    <row r="367" spans="1:3" ht="23">
      <c r="A367" s="41" t="s">
        <v>1821</v>
      </c>
      <c r="B367" s="18" t="s">
        <v>1822</v>
      </c>
      <c r="C367" s="41" t="s">
        <v>28</v>
      </c>
    </row>
    <row r="368" spans="1:3" ht="23">
      <c r="A368" s="41" t="s">
        <v>1810</v>
      </c>
      <c r="B368" s="18" t="s">
        <v>2076</v>
      </c>
      <c r="C368" s="41" t="s">
        <v>29</v>
      </c>
    </row>
    <row r="369" spans="1:3">
      <c r="A369" s="86" t="s">
        <v>2092</v>
      </c>
      <c r="B369" s="87" t="s">
        <v>2077</v>
      </c>
      <c r="C369" s="41" t="s">
        <v>28</v>
      </c>
    </row>
    <row r="370" spans="1:3">
      <c r="A370" s="86" t="s">
        <v>794</v>
      </c>
      <c r="B370" s="87" t="s">
        <v>2078</v>
      </c>
      <c r="C370" s="41" t="s">
        <v>29</v>
      </c>
    </row>
    <row r="371" spans="1:3">
      <c r="A371" s="86" t="s">
        <v>1044</v>
      </c>
      <c r="B371" s="87" t="s">
        <v>2079</v>
      </c>
      <c r="C371" s="41" t="s">
        <v>29</v>
      </c>
    </row>
    <row r="372" spans="1:3">
      <c r="A372" s="86" t="s">
        <v>2093</v>
      </c>
      <c r="B372" s="87" t="s">
        <v>2080</v>
      </c>
      <c r="C372" s="41" t="s">
        <v>29</v>
      </c>
    </row>
    <row r="373" spans="1:3">
      <c r="A373" s="86" t="s">
        <v>2094</v>
      </c>
      <c r="B373" s="87" t="s">
        <v>2081</v>
      </c>
      <c r="C373" s="41" t="s">
        <v>28</v>
      </c>
    </row>
    <row r="374" spans="1:3">
      <c r="A374" s="86" t="s">
        <v>2095</v>
      </c>
      <c r="B374" s="87" t="s">
        <v>2082</v>
      </c>
      <c r="C374" s="41" t="s">
        <v>29</v>
      </c>
    </row>
    <row r="375" spans="1:3">
      <c r="A375" s="86" t="s">
        <v>2096</v>
      </c>
      <c r="B375" s="87" t="s">
        <v>2083</v>
      </c>
      <c r="C375" s="41" t="s">
        <v>819</v>
      </c>
    </row>
    <row r="376" spans="1:3">
      <c r="A376" s="33" t="s">
        <v>1146</v>
      </c>
      <c r="B376" s="33" t="s">
        <v>1856</v>
      </c>
      <c r="C376" s="41" t="s">
        <v>28</v>
      </c>
    </row>
    <row r="377" spans="1:3">
      <c r="A377" s="33" t="s">
        <v>1091</v>
      </c>
      <c r="B377" s="33" t="s">
        <v>2084</v>
      </c>
      <c r="C377" s="41" t="s">
        <v>28</v>
      </c>
    </row>
    <row r="378" spans="1:3">
      <c r="A378" s="33" t="s">
        <v>1090</v>
      </c>
      <c r="B378" s="33" t="s">
        <v>2085</v>
      </c>
      <c r="C378" s="41" t="s">
        <v>28</v>
      </c>
    </row>
    <row r="379" spans="1:3" ht="30">
      <c r="A379" s="33" t="s">
        <v>1760</v>
      </c>
      <c r="B379" s="108" t="s">
        <v>2123</v>
      </c>
      <c r="C379" s="41" t="s">
        <v>28</v>
      </c>
    </row>
    <row r="380" spans="1:3">
      <c r="A380" s="33" t="s">
        <v>2097</v>
      </c>
      <c r="B380" s="33" t="s">
        <v>2086</v>
      </c>
      <c r="C380" s="41" t="s">
        <v>28</v>
      </c>
    </row>
    <row r="381" spans="1:3">
      <c r="A381" s="33" t="s">
        <v>2090</v>
      </c>
      <c r="B381" s="33" t="s">
        <v>2087</v>
      </c>
      <c r="C381" s="41" t="s">
        <v>28</v>
      </c>
    </row>
    <row r="382" spans="1:3">
      <c r="A382" s="33" t="s">
        <v>2091</v>
      </c>
      <c r="B382" s="33" t="s">
        <v>2088</v>
      </c>
      <c r="C382" s="41" t="s">
        <v>28</v>
      </c>
    </row>
    <row r="383" spans="1:3">
      <c r="A383" s="33" t="s">
        <v>783</v>
      </c>
      <c r="B383" s="33" t="s">
        <v>2089</v>
      </c>
      <c r="C383" s="41" t="s">
        <v>29</v>
      </c>
    </row>
  </sheetData>
  <hyperlinks>
    <hyperlink ref="A4" r:id="rId1" display="https://www.lazyportfolioetf.com/etf/ishares-20-year-treasury-bond/" xr:uid="{91427B3F-4CD5-3542-B459-82EF3EC19D66}"/>
    <hyperlink ref="B4" r:id="rId2" display="https://www.lazyportfolioetf.com/etf/ishares-20-year-treasury-bond/" xr:uid="{711623E6-60C1-E54C-BC2E-166A8964DB9D}"/>
    <hyperlink ref="A5" r:id="rId3" display="https://www.lazyportfolioetf.com/etf/ishares-3-7-year-treasury-bond-iei/" xr:uid="{351504C6-07A8-CD48-9E4B-9764FBA40F3D}"/>
    <hyperlink ref="B5" r:id="rId4" display="https://www.lazyportfolioetf.com/etf/ishares-3-7-year-treasury-bond-iei/" xr:uid="{D4868FA2-63F8-DF4A-9D0C-A8C94FC0AED9}"/>
    <hyperlink ref="A7" r:id="rId5" display="https://www.lazyportfolioetf.com/etf/spdr-gold-trust-gld/" xr:uid="{43C96972-278E-3042-A824-CB5E94CF073E}"/>
    <hyperlink ref="B7" r:id="rId6" display="https://www.lazyportfolioetf.com/etf/spdr-gold-trust-gld/" xr:uid="{FED4C2B7-821F-E845-B173-D03E427DFDF2}"/>
    <hyperlink ref="A8" r:id="rId7" display="https://www.lazyportfolioetf.com/etf/ishares-sp-gsci-commodity-indexed-trust-gsg/" xr:uid="{0D1AAC44-78E7-C644-BFA1-9BB868455D25}"/>
    <hyperlink ref="B8" r:id="rId8" display="https://www.lazyportfolioetf.com/etf/ishares-sp-gsci-commodity-indexed-trust-gsg/" xr:uid="{42C32B64-3FE5-5B43-8214-8FB61418AE90}"/>
    <hyperlink ref="B6" r:id="rId9" display="https://www.lazyportfolioetf.com/etf/ishares-1-3-year-treasury-bond-shy/" xr:uid="{B4473F8B-BB07-664D-AC53-0B46011EB1FD}"/>
    <hyperlink ref="A14" r:id="rId10" display="https://www.lazyportfolioetf.com/etf/vanguard-total-stock-market-vti/" xr:uid="{48E88F05-7502-E344-BC75-8AD8888A81C1}"/>
    <hyperlink ref="B14" r:id="rId11" display="https://www.lazyportfolioetf.com/etf/vanguard-total-stock-market-vti/" xr:uid="{AFD9D166-6CA3-D94E-884D-B0F38E54190F}"/>
  </hyperlinks>
  <pageMargins left="0.7" right="0.7" top="0.75" bottom="0.75" header="0.3" footer="0.3"/>
  <pageSetup paperSize="9" orientation="portrait" horizontalDpi="0" verticalDpi="0"/>
  <drawing r:id="rId1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66C3-FC21-524B-B0CA-F0E3F1F18716}">
  <dimension ref="A1:C160"/>
  <sheetViews>
    <sheetView workbookViewId="0">
      <selection activeCell="E6" sqref="E6"/>
    </sheetView>
  </sheetViews>
  <sheetFormatPr baseColWidth="10" defaultRowHeight="22"/>
  <cols>
    <col min="1" max="1" width="16.1640625" style="101" bestFit="1" customWidth="1"/>
    <col min="2" max="2" width="66.1640625" style="101" bestFit="1" customWidth="1"/>
    <col min="3" max="3" width="9.5" style="101" bestFit="1" customWidth="1"/>
  </cols>
  <sheetData>
    <row r="1" spans="1:3">
      <c r="A1" s="100" t="s">
        <v>0</v>
      </c>
      <c r="B1" s="100" t="s">
        <v>839</v>
      </c>
      <c r="C1" s="101" t="s">
        <v>726</v>
      </c>
    </row>
    <row r="2" spans="1:3">
      <c r="A2" s="102" t="s">
        <v>2</v>
      </c>
      <c r="B2" s="104" t="s">
        <v>2119</v>
      </c>
      <c r="C2" s="101" t="s">
        <v>28</v>
      </c>
    </row>
    <row r="3" spans="1:3">
      <c r="A3" s="101" t="s">
        <v>1089</v>
      </c>
      <c r="B3" s="105" t="s">
        <v>2099</v>
      </c>
      <c r="C3" s="101" t="s">
        <v>28</v>
      </c>
    </row>
    <row r="4" spans="1:3">
      <c r="A4" s="99" t="s">
        <v>1146</v>
      </c>
      <c r="B4" s="104" t="s">
        <v>1856</v>
      </c>
      <c r="C4" s="101" t="s">
        <v>28</v>
      </c>
    </row>
    <row r="5" spans="1:3">
      <c r="A5" s="103" t="s">
        <v>798</v>
      </c>
      <c r="B5" s="99" t="s">
        <v>1325</v>
      </c>
      <c r="C5" s="101" t="s">
        <v>28</v>
      </c>
    </row>
    <row r="6" spans="1:3">
      <c r="A6" s="103" t="s">
        <v>76</v>
      </c>
      <c r="B6" s="103" t="s">
        <v>77</v>
      </c>
      <c r="C6" s="101" t="s">
        <v>29</v>
      </c>
    </row>
    <row r="7" spans="1:3">
      <c r="A7" s="103" t="s">
        <v>82</v>
      </c>
      <c r="B7" s="103" t="s">
        <v>83</v>
      </c>
      <c r="C7" s="101" t="s">
        <v>29</v>
      </c>
    </row>
    <row r="8" spans="1:3">
      <c r="A8" s="103" t="s">
        <v>87</v>
      </c>
      <c r="B8" s="103" t="s">
        <v>88</v>
      </c>
      <c r="C8" s="101" t="s">
        <v>29</v>
      </c>
    </row>
    <row r="9" spans="1:3">
      <c r="A9" s="103" t="s">
        <v>91</v>
      </c>
      <c r="B9" s="103" t="s">
        <v>92</v>
      </c>
      <c r="C9" s="101" t="s">
        <v>29</v>
      </c>
    </row>
    <row r="10" spans="1:3">
      <c r="A10" s="103" t="s">
        <v>96</v>
      </c>
      <c r="B10" s="103" t="s">
        <v>97</v>
      </c>
      <c r="C10" s="101" t="s">
        <v>29</v>
      </c>
    </row>
    <row r="11" spans="1:3">
      <c r="A11" s="103" t="s">
        <v>100</v>
      </c>
      <c r="B11" s="103" t="s">
        <v>101</v>
      </c>
      <c r="C11" s="101" t="s">
        <v>29</v>
      </c>
    </row>
    <row r="12" spans="1:3">
      <c r="A12" s="103" t="s">
        <v>104</v>
      </c>
      <c r="B12" s="103" t="s">
        <v>105</v>
      </c>
      <c r="C12" s="101" t="s">
        <v>29</v>
      </c>
    </row>
    <row r="13" spans="1:3">
      <c r="A13" s="103" t="s">
        <v>109</v>
      </c>
      <c r="B13" s="103" t="s">
        <v>110</v>
      </c>
      <c r="C13" s="101" t="s">
        <v>29</v>
      </c>
    </row>
    <row r="14" spans="1:3">
      <c r="A14" s="103" t="s">
        <v>113</v>
      </c>
      <c r="B14" s="103" t="s">
        <v>114</v>
      </c>
      <c r="C14" s="101" t="s">
        <v>29</v>
      </c>
    </row>
    <row r="15" spans="1:3">
      <c r="A15" s="103" t="s">
        <v>117</v>
      </c>
      <c r="B15" s="103" t="s">
        <v>118</v>
      </c>
      <c r="C15" s="101" t="s">
        <v>29</v>
      </c>
    </row>
    <row r="16" spans="1:3">
      <c r="A16" s="103" t="s">
        <v>122</v>
      </c>
      <c r="B16" s="103" t="s">
        <v>123</v>
      </c>
      <c r="C16" s="101" t="s">
        <v>29</v>
      </c>
    </row>
    <row r="17" spans="1:3">
      <c r="A17" s="103" t="s">
        <v>127</v>
      </c>
      <c r="B17" s="103" t="s">
        <v>128</v>
      </c>
      <c r="C17" s="101" t="s">
        <v>29</v>
      </c>
    </row>
    <row r="18" spans="1:3">
      <c r="A18" s="103" t="s">
        <v>131</v>
      </c>
      <c r="B18" s="103" t="s">
        <v>132</v>
      </c>
      <c r="C18" s="101" t="s">
        <v>29</v>
      </c>
    </row>
    <row r="19" spans="1:3">
      <c r="A19" s="103" t="s">
        <v>136</v>
      </c>
      <c r="B19" s="103" t="s">
        <v>137</v>
      </c>
      <c r="C19" s="101" t="s">
        <v>29</v>
      </c>
    </row>
    <row r="20" spans="1:3">
      <c r="A20" s="103" t="s">
        <v>140</v>
      </c>
      <c r="B20" s="103" t="s">
        <v>141</v>
      </c>
      <c r="C20" s="101" t="s">
        <v>29</v>
      </c>
    </row>
    <row r="21" spans="1:3">
      <c r="A21" s="103" t="s">
        <v>144</v>
      </c>
      <c r="B21" s="103" t="s">
        <v>145</v>
      </c>
      <c r="C21" s="101" t="s">
        <v>29</v>
      </c>
    </row>
    <row r="22" spans="1:3">
      <c r="A22" s="103" t="s">
        <v>149</v>
      </c>
      <c r="B22" s="103" t="s">
        <v>150</v>
      </c>
      <c r="C22" s="101" t="s">
        <v>29</v>
      </c>
    </row>
    <row r="23" spans="1:3">
      <c r="A23" s="103" t="s">
        <v>153</v>
      </c>
      <c r="B23" s="103" t="s">
        <v>154</v>
      </c>
      <c r="C23" s="101" t="s">
        <v>29</v>
      </c>
    </row>
    <row r="24" spans="1:3">
      <c r="A24" s="103" t="s">
        <v>157</v>
      </c>
      <c r="B24" s="103" t="s">
        <v>158</v>
      </c>
      <c r="C24" s="101" t="s">
        <v>29</v>
      </c>
    </row>
    <row r="25" spans="1:3">
      <c r="A25" s="103" t="s">
        <v>161</v>
      </c>
      <c r="B25" s="103" t="s">
        <v>162</v>
      </c>
      <c r="C25" s="101" t="s">
        <v>29</v>
      </c>
    </row>
    <row r="26" spans="1:3">
      <c r="A26" s="103" t="s">
        <v>165</v>
      </c>
      <c r="B26" s="103" t="s">
        <v>166</v>
      </c>
      <c r="C26" s="101" t="s">
        <v>29</v>
      </c>
    </row>
    <row r="27" spans="1:3">
      <c r="A27" s="103" t="s">
        <v>169</v>
      </c>
      <c r="B27" s="103" t="s">
        <v>170</v>
      </c>
      <c r="C27" s="101" t="s">
        <v>29</v>
      </c>
    </row>
    <row r="28" spans="1:3">
      <c r="A28" s="103" t="s">
        <v>173</v>
      </c>
      <c r="B28" s="103" t="s">
        <v>174</v>
      </c>
      <c r="C28" s="101" t="s">
        <v>29</v>
      </c>
    </row>
    <row r="29" spans="1:3">
      <c r="A29" s="103" t="s">
        <v>177</v>
      </c>
      <c r="B29" s="103" t="s">
        <v>178</v>
      </c>
      <c r="C29" s="101" t="s">
        <v>29</v>
      </c>
    </row>
    <row r="30" spans="1:3">
      <c r="A30" s="103" t="s">
        <v>181</v>
      </c>
      <c r="B30" s="103" t="s">
        <v>182</v>
      </c>
      <c r="C30" s="101" t="s">
        <v>29</v>
      </c>
    </row>
    <row r="31" spans="1:3">
      <c r="A31" s="103" t="s">
        <v>185</v>
      </c>
      <c r="B31" s="103" t="s">
        <v>186</v>
      </c>
      <c r="C31" s="101" t="s">
        <v>29</v>
      </c>
    </row>
    <row r="32" spans="1:3">
      <c r="A32" s="103" t="s">
        <v>189</v>
      </c>
      <c r="B32" s="103" t="s">
        <v>190</v>
      </c>
      <c r="C32" s="101" t="s">
        <v>29</v>
      </c>
    </row>
    <row r="33" spans="1:3">
      <c r="A33" s="103" t="s">
        <v>193</v>
      </c>
      <c r="B33" s="103" t="s">
        <v>194</v>
      </c>
      <c r="C33" s="101" t="s">
        <v>29</v>
      </c>
    </row>
    <row r="34" spans="1:3">
      <c r="A34" s="103" t="s">
        <v>197</v>
      </c>
      <c r="B34" s="103" t="s">
        <v>198</v>
      </c>
      <c r="C34" s="101" t="s">
        <v>29</v>
      </c>
    </row>
    <row r="35" spans="1:3">
      <c r="A35" s="103" t="s">
        <v>201</v>
      </c>
      <c r="B35" s="103" t="s">
        <v>202</v>
      </c>
      <c r="C35" s="101" t="s">
        <v>29</v>
      </c>
    </row>
    <row r="36" spans="1:3">
      <c r="A36" s="103" t="s">
        <v>205</v>
      </c>
      <c r="B36" s="103" t="s">
        <v>206</v>
      </c>
      <c r="C36" s="101" t="s">
        <v>29</v>
      </c>
    </row>
    <row r="37" spans="1:3">
      <c r="A37" s="103" t="s">
        <v>209</v>
      </c>
      <c r="B37" s="103" t="s">
        <v>210</v>
      </c>
      <c r="C37" s="101" t="s">
        <v>29</v>
      </c>
    </row>
    <row r="38" spans="1:3">
      <c r="A38" s="103" t="s">
        <v>213</v>
      </c>
      <c r="B38" s="103" t="s">
        <v>214</v>
      </c>
      <c r="C38" s="101" t="s">
        <v>29</v>
      </c>
    </row>
    <row r="39" spans="1:3">
      <c r="A39" s="103" t="s">
        <v>217</v>
      </c>
      <c r="B39" s="103" t="s">
        <v>218</v>
      </c>
      <c r="C39" s="101" t="s">
        <v>29</v>
      </c>
    </row>
    <row r="40" spans="1:3">
      <c r="A40" s="103" t="s">
        <v>221</v>
      </c>
      <c r="B40" s="103" t="s">
        <v>222</v>
      </c>
      <c r="C40" s="101" t="s">
        <v>29</v>
      </c>
    </row>
    <row r="41" spans="1:3">
      <c r="A41" s="103" t="s">
        <v>226</v>
      </c>
      <c r="B41" s="103" t="s">
        <v>227</v>
      </c>
      <c r="C41" s="101" t="s">
        <v>29</v>
      </c>
    </row>
    <row r="42" spans="1:3">
      <c r="A42" s="103" t="s">
        <v>230</v>
      </c>
      <c r="B42" s="103" t="s">
        <v>231</v>
      </c>
      <c r="C42" s="101" t="s">
        <v>29</v>
      </c>
    </row>
    <row r="43" spans="1:3">
      <c r="A43" s="103" t="s">
        <v>234</v>
      </c>
      <c r="B43" s="103" t="s">
        <v>235</v>
      </c>
      <c r="C43" s="101" t="s">
        <v>29</v>
      </c>
    </row>
    <row r="44" spans="1:3">
      <c r="A44" s="103" t="s">
        <v>238</v>
      </c>
      <c r="B44" s="103" t="s">
        <v>239</v>
      </c>
      <c r="C44" s="101" t="s">
        <v>29</v>
      </c>
    </row>
    <row r="45" spans="1:3">
      <c r="A45" s="103" t="s">
        <v>242</v>
      </c>
      <c r="B45" s="103" t="s">
        <v>243</v>
      </c>
      <c r="C45" s="101" t="s">
        <v>29</v>
      </c>
    </row>
    <row r="46" spans="1:3">
      <c r="A46" s="103" t="s">
        <v>246</v>
      </c>
      <c r="B46" s="103" t="s">
        <v>247</v>
      </c>
      <c r="C46" s="101" t="s">
        <v>29</v>
      </c>
    </row>
    <row r="47" spans="1:3">
      <c r="A47" s="103" t="s">
        <v>250</v>
      </c>
      <c r="B47" s="103" t="s">
        <v>251</v>
      </c>
      <c r="C47" s="101" t="s">
        <v>29</v>
      </c>
    </row>
    <row r="48" spans="1:3">
      <c r="A48" s="103" t="s">
        <v>254</v>
      </c>
      <c r="B48" s="103" t="s">
        <v>255</v>
      </c>
      <c r="C48" s="101" t="s">
        <v>29</v>
      </c>
    </row>
    <row r="49" spans="1:3">
      <c r="A49" s="103" t="s">
        <v>258</v>
      </c>
      <c r="B49" s="103" t="s">
        <v>259</v>
      </c>
      <c r="C49" s="101" t="s">
        <v>29</v>
      </c>
    </row>
    <row r="50" spans="1:3">
      <c r="A50" s="103" t="s">
        <v>262</v>
      </c>
      <c r="B50" s="103" t="s">
        <v>263</v>
      </c>
      <c r="C50" s="101" t="s">
        <v>29</v>
      </c>
    </row>
    <row r="51" spans="1:3">
      <c r="A51" s="103" t="s">
        <v>267</v>
      </c>
      <c r="B51" s="103" t="s">
        <v>268</v>
      </c>
      <c r="C51" s="101" t="s">
        <v>29</v>
      </c>
    </row>
    <row r="52" spans="1:3">
      <c r="A52" s="103" t="s">
        <v>271</v>
      </c>
      <c r="B52" s="103" t="s">
        <v>272</v>
      </c>
      <c r="C52" s="101" t="s">
        <v>29</v>
      </c>
    </row>
    <row r="53" spans="1:3">
      <c r="A53" s="103" t="s">
        <v>275</v>
      </c>
      <c r="B53" s="103" t="s">
        <v>276</v>
      </c>
      <c r="C53" s="101" t="s">
        <v>29</v>
      </c>
    </row>
    <row r="54" spans="1:3">
      <c r="A54" s="103" t="s">
        <v>279</v>
      </c>
      <c r="B54" s="103" t="s">
        <v>280</v>
      </c>
      <c r="C54" s="101" t="s">
        <v>29</v>
      </c>
    </row>
    <row r="55" spans="1:3">
      <c r="A55" s="103" t="s">
        <v>283</v>
      </c>
      <c r="B55" s="103" t="s">
        <v>284</v>
      </c>
      <c r="C55" s="101" t="s">
        <v>29</v>
      </c>
    </row>
    <row r="56" spans="1:3">
      <c r="A56" s="103" t="s">
        <v>287</v>
      </c>
      <c r="B56" s="103" t="s">
        <v>288</v>
      </c>
      <c r="C56" s="101" t="s">
        <v>29</v>
      </c>
    </row>
    <row r="57" spans="1:3">
      <c r="A57" s="103" t="s">
        <v>291</v>
      </c>
      <c r="B57" s="103" t="s">
        <v>292</v>
      </c>
      <c r="C57" s="101" t="s">
        <v>29</v>
      </c>
    </row>
    <row r="58" spans="1:3">
      <c r="A58" s="103" t="s">
        <v>295</v>
      </c>
      <c r="B58" s="103" t="s">
        <v>296</v>
      </c>
      <c r="C58" s="101" t="s">
        <v>29</v>
      </c>
    </row>
    <row r="59" spans="1:3">
      <c r="A59" s="103" t="s">
        <v>299</v>
      </c>
      <c r="B59" s="103" t="s">
        <v>300</v>
      </c>
      <c r="C59" s="101" t="s">
        <v>29</v>
      </c>
    </row>
    <row r="60" spans="1:3">
      <c r="A60" s="103" t="s">
        <v>303</v>
      </c>
      <c r="B60" s="103" t="s">
        <v>304</v>
      </c>
      <c r="C60" s="101" t="s">
        <v>29</v>
      </c>
    </row>
    <row r="61" spans="1:3">
      <c r="A61" s="103" t="s">
        <v>307</v>
      </c>
      <c r="B61" s="103" t="s">
        <v>308</v>
      </c>
      <c r="C61" s="101" t="s">
        <v>29</v>
      </c>
    </row>
    <row r="62" spans="1:3">
      <c r="A62" s="103" t="s">
        <v>311</v>
      </c>
      <c r="B62" s="103" t="s">
        <v>312</v>
      </c>
      <c r="C62" s="101" t="s">
        <v>29</v>
      </c>
    </row>
    <row r="63" spans="1:3">
      <c r="A63" s="103" t="s">
        <v>315</v>
      </c>
      <c r="B63" s="103" t="s">
        <v>316</v>
      </c>
      <c r="C63" s="101" t="s">
        <v>29</v>
      </c>
    </row>
    <row r="64" spans="1:3">
      <c r="A64" s="103" t="s">
        <v>319</v>
      </c>
      <c r="B64" s="103" t="s">
        <v>320</v>
      </c>
      <c r="C64" s="101" t="s">
        <v>29</v>
      </c>
    </row>
    <row r="65" spans="1:3">
      <c r="A65" s="103" t="s">
        <v>323</v>
      </c>
      <c r="B65" s="103" t="s">
        <v>324</v>
      </c>
      <c r="C65" s="101" t="s">
        <v>29</v>
      </c>
    </row>
    <row r="66" spans="1:3">
      <c r="A66" s="103" t="s">
        <v>327</v>
      </c>
      <c r="B66" s="103" t="s">
        <v>328</v>
      </c>
      <c r="C66" s="101" t="s">
        <v>29</v>
      </c>
    </row>
    <row r="67" spans="1:3">
      <c r="A67" s="103" t="s">
        <v>331</v>
      </c>
      <c r="B67" s="103" t="s">
        <v>332</v>
      </c>
      <c r="C67" s="101" t="s">
        <v>29</v>
      </c>
    </row>
    <row r="68" spans="1:3">
      <c r="A68" s="103" t="s">
        <v>335</v>
      </c>
      <c r="B68" s="103" t="s">
        <v>336</v>
      </c>
      <c r="C68" s="101" t="s">
        <v>29</v>
      </c>
    </row>
    <row r="69" spans="1:3">
      <c r="A69" s="103" t="s">
        <v>340</v>
      </c>
      <c r="B69" s="103" t="s">
        <v>341</v>
      </c>
      <c r="C69" s="101" t="s">
        <v>29</v>
      </c>
    </row>
    <row r="70" spans="1:3">
      <c r="A70" s="103" t="s">
        <v>344</v>
      </c>
      <c r="B70" s="103" t="s">
        <v>345</v>
      </c>
      <c r="C70" s="101" t="s">
        <v>29</v>
      </c>
    </row>
    <row r="71" spans="1:3">
      <c r="A71" s="103" t="s">
        <v>348</v>
      </c>
      <c r="B71" s="103" t="s">
        <v>349</v>
      </c>
      <c r="C71" s="101" t="s">
        <v>29</v>
      </c>
    </row>
    <row r="72" spans="1:3">
      <c r="A72" s="103" t="s">
        <v>352</v>
      </c>
      <c r="B72" s="103" t="s">
        <v>353</v>
      </c>
      <c r="C72" s="101" t="s">
        <v>29</v>
      </c>
    </row>
    <row r="73" spans="1:3">
      <c r="A73" s="103" t="s">
        <v>356</v>
      </c>
      <c r="B73" s="103" t="s">
        <v>357</v>
      </c>
      <c r="C73" s="101" t="s">
        <v>29</v>
      </c>
    </row>
    <row r="74" spans="1:3">
      <c r="A74" s="103" t="s">
        <v>360</v>
      </c>
      <c r="B74" s="103" t="s">
        <v>361</v>
      </c>
      <c r="C74" s="101" t="s">
        <v>29</v>
      </c>
    </row>
    <row r="75" spans="1:3">
      <c r="A75" s="103" t="s">
        <v>364</v>
      </c>
      <c r="B75" s="103" t="s">
        <v>365</v>
      </c>
      <c r="C75" s="101" t="s">
        <v>29</v>
      </c>
    </row>
    <row r="76" spans="1:3">
      <c r="A76" s="103" t="s">
        <v>368</v>
      </c>
      <c r="B76" s="103" t="s">
        <v>369</v>
      </c>
      <c r="C76" s="101" t="s">
        <v>29</v>
      </c>
    </row>
    <row r="77" spans="1:3">
      <c r="A77" s="103" t="s">
        <v>372</v>
      </c>
      <c r="B77" s="103" t="s">
        <v>373</v>
      </c>
      <c r="C77" s="101" t="s">
        <v>29</v>
      </c>
    </row>
    <row r="78" spans="1:3">
      <c r="A78" s="103" t="s">
        <v>376</v>
      </c>
      <c r="B78" s="103" t="s">
        <v>377</v>
      </c>
      <c r="C78" s="101" t="s">
        <v>29</v>
      </c>
    </row>
    <row r="79" spans="1:3">
      <c r="A79" s="103" t="s">
        <v>380</v>
      </c>
      <c r="B79" s="103" t="s">
        <v>381</v>
      </c>
      <c r="C79" s="101" t="s">
        <v>29</v>
      </c>
    </row>
    <row r="80" spans="1:3">
      <c r="A80" s="103" t="s">
        <v>384</v>
      </c>
      <c r="B80" s="103" t="s">
        <v>385</v>
      </c>
      <c r="C80" s="101" t="s">
        <v>29</v>
      </c>
    </row>
    <row r="81" spans="1:3">
      <c r="A81" s="103" t="s">
        <v>388</v>
      </c>
      <c r="B81" s="103" t="s">
        <v>389</v>
      </c>
      <c r="C81" s="101" t="s">
        <v>29</v>
      </c>
    </row>
    <row r="82" spans="1:3">
      <c r="A82" s="103" t="s">
        <v>392</v>
      </c>
      <c r="B82" s="103" t="s">
        <v>393</v>
      </c>
      <c r="C82" s="101" t="s">
        <v>29</v>
      </c>
    </row>
    <row r="83" spans="1:3">
      <c r="A83" s="103" t="s">
        <v>396</v>
      </c>
      <c r="B83" s="103" t="s">
        <v>397</v>
      </c>
      <c r="C83" s="101" t="s">
        <v>29</v>
      </c>
    </row>
    <row r="84" spans="1:3">
      <c r="A84" s="103" t="s">
        <v>400</v>
      </c>
      <c r="B84" s="103" t="s">
        <v>401</v>
      </c>
      <c r="C84" s="101" t="s">
        <v>29</v>
      </c>
    </row>
    <row r="85" spans="1:3">
      <c r="A85" s="103" t="s">
        <v>404</v>
      </c>
      <c r="B85" s="103" t="s">
        <v>405</v>
      </c>
      <c r="C85" s="101" t="s">
        <v>29</v>
      </c>
    </row>
    <row r="86" spans="1:3">
      <c r="A86" s="103" t="s">
        <v>408</v>
      </c>
      <c r="B86" s="103" t="s">
        <v>409</v>
      </c>
      <c r="C86" s="101" t="s">
        <v>29</v>
      </c>
    </row>
    <row r="87" spans="1:3">
      <c r="A87" s="103" t="s">
        <v>412</v>
      </c>
      <c r="B87" s="103" t="s">
        <v>413</v>
      </c>
      <c r="C87" s="101" t="s">
        <v>29</v>
      </c>
    </row>
    <row r="88" spans="1:3">
      <c r="A88" s="99" t="s">
        <v>1718</v>
      </c>
      <c r="B88" s="103" t="s">
        <v>417</v>
      </c>
      <c r="C88" s="101" t="s">
        <v>28</v>
      </c>
    </row>
    <row r="89" spans="1:3">
      <c r="A89" s="103" t="s">
        <v>420</v>
      </c>
      <c r="B89" s="103" t="s">
        <v>421</v>
      </c>
      <c r="C89" s="101" t="s">
        <v>29</v>
      </c>
    </row>
    <row r="90" spans="1:3">
      <c r="A90" s="103" t="s">
        <v>424</v>
      </c>
      <c r="B90" s="103" t="s">
        <v>425</v>
      </c>
      <c r="C90" s="101" t="s">
        <v>29</v>
      </c>
    </row>
    <row r="91" spans="1:3">
      <c r="A91" s="103" t="s">
        <v>428</v>
      </c>
      <c r="B91" s="103" t="s">
        <v>429</v>
      </c>
      <c r="C91" s="101" t="s">
        <v>29</v>
      </c>
    </row>
    <row r="92" spans="1:3">
      <c r="A92" s="103" t="s">
        <v>432</v>
      </c>
      <c r="B92" s="103" t="s">
        <v>433</v>
      </c>
      <c r="C92" s="101" t="s">
        <v>29</v>
      </c>
    </row>
    <row r="93" spans="1:3">
      <c r="A93" s="103" t="s">
        <v>436</v>
      </c>
      <c r="B93" s="103" t="s">
        <v>437</v>
      </c>
      <c r="C93" s="101" t="s">
        <v>29</v>
      </c>
    </row>
    <row r="94" spans="1:3">
      <c r="A94" s="103" t="s">
        <v>440</v>
      </c>
      <c r="B94" s="103" t="s">
        <v>441</v>
      </c>
      <c r="C94" s="101" t="s">
        <v>29</v>
      </c>
    </row>
    <row r="95" spans="1:3">
      <c r="A95" s="103" t="s">
        <v>444</v>
      </c>
      <c r="B95" s="103" t="s">
        <v>445</v>
      </c>
      <c r="C95" s="101" t="s">
        <v>29</v>
      </c>
    </row>
    <row r="96" spans="1:3">
      <c r="A96" s="103" t="s">
        <v>448</v>
      </c>
      <c r="B96" s="103" t="s">
        <v>449</v>
      </c>
      <c r="C96" s="101" t="s">
        <v>29</v>
      </c>
    </row>
    <row r="97" spans="1:3">
      <c r="A97" s="103" t="s">
        <v>452</v>
      </c>
      <c r="B97" s="103" t="s">
        <v>453</v>
      </c>
      <c r="C97" s="101" t="s">
        <v>29</v>
      </c>
    </row>
    <row r="98" spans="1:3">
      <c r="A98" s="103" t="s">
        <v>456</v>
      </c>
      <c r="B98" s="103" t="s">
        <v>457</v>
      </c>
      <c r="C98" s="101" t="s">
        <v>29</v>
      </c>
    </row>
    <row r="99" spans="1:3">
      <c r="A99" s="103" t="s">
        <v>460</v>
      </c>
      <c r="B99" s="103" t="s">
        <v>461</v>
      </c>
      <c r="C99" s="101" t="s">
        <v>29</v>
      </c>
    </row>
    <row r="100" spans="1:3">
      <c r="A100" s="103" t="s">
        <v>464</v>
      </c>
      <c r="B100" s="103" t="s">
        <v>465</v>
      </c>
      <c r="C100" s="101" t="s">
        <v>29</v>
      </c>
    </row>
    <row r="101" spans="1:3">
      <c r="A101" s="103" t="s">
        <v>468</v>
      </c>
      <c r="B101" s="103" t="s">
        <v>469</v>
      </c>
      <c r="C101" s="101" t="s">
        <v>29</v>
      </c>
    </row>
    <row r="102" spans="1:3">
      <c r="A102" s="103" t="s">
        <v>472</v>
      </c>
      <c r="B102" s="103" t="s">
        <v>473</v>
      </c>
      <c r="C102" s="101" t="s">
        <v>29</v>
      </c>
    </row>
    <row r="103" spans="1:3">
      <c r="A103" s="103" t="s">
        <v>476</v>
      </c>
      <c r="B103" s="103" t="s">
        <v>477</v>
      </c>
      <c r="C103" s="101" t="s">
        <v>29</v>
      </c>
    </row>
    <row r="104" spans="1:3">
      <c r="A104" s="103" t="s">
        <v>480</v>
      </c>
      <c r="B104" s="103" t="s">
        <v>481</v>
      </c>
      <c r="C104" s="101" t="s">
        <v>29</v>
      </c>
    </row>
    <row r="105" spans="1:3">
      <c r="A105" s="103" t="s">
        <v>484</v>
      </c>
      <c r="B105" s="103" t="s">
        <v>485</v>
      </c>
      <c r="C105" s="101" t="s">
        <v>29</v>
      </c>
    </row>
    <row r="106" spans="1:3">
      <c r="A106" s="103" t="s">
        <v>488</v>
      </c>
      <c r="B106" s="103" t="s">
        <v>489</v>
      </c>
      <c r="C106" s="101" t="s">
        <v>29</v>
      </c>
    </row>
    <row r="107" spans="1:3">
      <c r="A107" s="103" t="s">
        <v>492</v>
      </c>
      <c r="B107" s="103" t="s">
        <v>493</v>
      </c>
      <c r="C107" s="101" t="s">
        <v>29</v>
      </c>
    </row>
    <row r="108" spans="1:3">
      <c r="A108" s="103" t="s">
        <v>496</v>
      </c>
      <c r="B108" s="103" t="s">
        <v>497</v>
      </c>
      <c r="C108" s="101" t="s">
        <v>29</v>
      </c>
    </row>
    <row r="109" spans="1:3">
      <c r="A109" s="103" t="s">
        <v>500</v>
      </c>
      <c r="B109" s="103" t="s">
        <v>501</v>
      </c>
      <c r="C109" s="101" t="s">
        <v>29</v>
      </c>
    </row>
    <row r="110" spans="1:3">
      <c r="A110" s="103" t="s">
        <v>504</v>
      </c>
      <c r="B110" s="103" t="s">
        <v>505</v>
      </c>
      <c r="C110" s="101" t="s">
        <v>29</v>
      </c>
    </row>
    <row r="111" spans="1:3">
      <c r="A111" s="103" t="s">
        <v>508</v>
      </c>
      <c r="B111" s="103" t="s">
        <v>509</v>
      </c>
      <c r="C111" s="101" t="s">
        <v>29</v>
      </c>
    </row>
    <row r="112" spans="1:3">
      <c r="A112" s="103" t="s">
        <v>512</v>
      </c>
      <c r="B112" s="103" t="s">
        <v>513</v>
      </c>
      <c r="C112" s="101" t="s">
        <v>29</v>
      </c>
    </row>
    <row r="113" spans="1:3">
      <c r="A113" s="103" t="s">
        <v>516</v>
      </c>
      <c r="B113" s="103" t="s">
        <v>517</v>
      </c>
      <c r="C113" s="101" t="s">
        <v>29</v>
      </c>
    </row>
    <row r="114" spans="1:3">
      <c r="A114" s="103" t="s">
        <v>520</v>
      </c>
      <c r="B114" s="103" t="s">
        <v>521</v>
      </c>
      <c r="C114" s="101" t="s">
        <v>29</v>
      </c>
    </row>
    <row r="115" spans="1:3">
      <c r="A115" s="103" t="s">
        <v>524</v>
      </c>
      <c r="B115" s="103" t="s">
        <v>525</v>
      </c>
      <c r="C115" s="101" t="s">
        <v>29</v>
      </c>
    </row>
    <row r="116" spans="1:3">
      <c r="A116" s="103" t="s">
        <v>528</v>
      </c>
      <c r="B116" s="103" t="s">
        <v>529</v>
      </c>
      <c r="C116" s="101" t="s">
        <v>29</v>
      </c>
    </row>
    <row r="117" spans="1:3">
      <c r="A117" s="103" t="s">
        <v>532</v>
      </c>
      <c r="B117" s="103" t="s">
        <v>533</v>
      </c>
      <c r="C117" s="101" t="s">
        <v>29</v>
      </c>
    </row>
    <row r="118" spans="1:3">
      <c r="A118" s="103" t="s">
        <v>536</v>
      </c>
      <c r="B118" s="103" t="s">
        <v>537</v>
      </c>
      <c r="C118" s="101" t="s">
        <v>29</v>
      </c>
    </row>
    <row r="119" spans="1:3">
      <c r="A119" s="103" t="s">
        <v>540</v>
      </c>
      <c r="B119" s="103" t="s">
        <v>541</v>
      </c>
      <c r="C119" s="101" t="s">
        <v>29</v>
      </c>
    </row>
    <row r="120" spans="1:3">
      <c r="A120" s="103" t="s">
        <v>1323</v>
      </c>
      <c r="B120" s="103" t="s">
        <v>545</v>
      </c>
      <c r="C120" s="101" t="s">
        <v>29</v>
      </c>
    </row>
    <row r="121" spans="1:3">
      <c r="A121" s="103" t="s">
        <v>548</v>
      </c>
      <c r="B121" s="103" t="s">
        <v>549</v>
      </c>
      <c r="C121" s="101" t="s">
        <v>29</v>
      </c>
    </row>
    <row r="122" spans="1:3">
      <c r="A122" s="103" t="s">
        <v>552</v>
      </c>
      <c r="B122" s="103" t="s">
        <v>553</v>
      </c>
      <c r="C122" s="101" t="s">
        <v>29</v>
      </c>
    </row>
    <row r="123" spans="1:3">
      <c r="A123" s="103" t="s">
        <v>29</v>
      </c>
      <c r="B123" s="103" t="s">
        <v>556</v>
      </c>
      <c r="C123" s="101" t="s">
        <v>29</v>
      </c>
    </row>
    <row r="124" spans="1:3">
      <c r="A124" s="103" t="s">
        <v>561</v>
      </c>
      <c r="B124" s="103" t="s">
        <v>562</v>
      </c>
      <c r="C124" s="101" t="s">
        <v>29</v>
      </c>
    </row>
    <row r="125" spans="1:3">
      <c r="A125" s="103" t="s">
        <v>565</v>
      </c>
      <c r="B125" s="103" t="s">
        <v>566</v>
      </c>
      <c r="C125" s="101" t="s">
        <v>29</v>
      </c>
    </row>
    <row r="126" spans="1:3">
      <c r="A126" s="103" t="s">
        <v>569</v>
      </c>
      <c r="B126" s="103" t="s">
        <v>570</v>
      </c>
      <c r="C126" s="101" t="s">
        <v>29</v>
      </c>
    </row>
    <row r="127" spans="1:3">
      <c r="A127" s="103" t="s">
        <v>573</v>
      </c>
      <c r="B127" s="103" t="s">
        <v>574</v>
      </c>
      <c r="C127" s="101" t="s">
        <v>29</v>
      </c>
    </row>
    <row r="128" spans="1:3">
      <c r="A128" s="103" t="s">
        <v>577</v>
      </c>
      <c r="B128" s="103" t="s">
        <v>578</v>
      </c>
      <c r="C128" s="101" t="s">
        <v>29</v>
      </c>
    </row>
    <row r="129" spans="1:3">
      <c r="A129" s="103" t="s">
        <v>581</v>
      </c>
      <c r="B129" s="103" t="s">
        <v>582</v>
      </c>
      <c r="C129" s="101" t="s">
        <v>29</v>
      </c>
    </row>
    <row r="130" spans="1:3">
      <c r="A130" s="103" t="s">
        <v>585</v>
      </c>
      <c r="B130" s="103" t="s">
        <v>586</v>
      </c>
      <c r="C130" s="101" t="s">
        <v>29</v>
      </c>
    </row>
    <row r="131" spans="1:3">
      <c r="A131" s="103" t="s">
        <v>589</v>
      </c>
      <c r="B131" s="103" t="s">
        <v>590</v>
      </c>
      <c r="C131" s="101" t="s">
        <v>29</v>
      </c>
    </row>
    <row r="132" spans="1:3">
      <c r="A132" s="103" t="s">
        <v>593</v>
      </c>
      <c r="B132" s="103" t="s">
        <v>594</v>
      </c>
      <c r="C132" s="101" t="s">
        <v>29</v>
      </c>
    </row>
    <row r="133" spans="1:3">
      <c r="A133" s="103" t="s">
        <v>597</v>
      </c>
      <c r="B133" s="103" t="s">
        <v>598</v>
      </c>
      <c r="C133" s="101" t="s">
        <v>29</v>
      </c>
    </row>
    <row r="134" spans="1:3">
      <c r="A134" s="103" t="s">
        <v>601</v>
      </c>
      <c r="B134" s="103" t="s">
        <v>602</v>
      </c>
      <c r="C134" s="101" t="s">
        <v>29</v>
      </c>
    </row>
    <row r="135" spans="1:3">
      <c r="A135" s="103" t="s">
        <v>605</v>
      </c>
      <c r="B135" s="103" t="s">
        <v>606</v>
      </c>
      <c r="C135" s="101" t="s">
        <v>29</v>
      </c>
    </row>
    <row r="136" spans="1:3">
      <c r="A136" s="103" t="s">
        <v>609</v>
      </c>
      <c r="B136" s="103" t="s">
        <v>610</v>
      </c>
      <c r="C136" s="101" t="s">
        <v>29</v>
      </c>
    </row>
    <row r="137" spans="1:3">
      <c r="A137" s="103" t="s">
        <v>613</v>
      </c>
      <c r="B137" s="103" t="s">
        <v>614</v>
      </c>
      <c r="C137" s="101" t="s">
        <v>29</v>
      </c>
    </row>
    <row r="138" spans="1:3">
      <c r="A138" s="103" t="s">
        <v>617</v>
      </c>
      <c r="B138" s="103" t="s">
        <v>618</v>
      </c>
      <c r="C138" s="101" t="s">
        <v>29</v>
      </c>
    </row>
    <row r="139" spans="1:3">
      <c r="A139" s="103" t="s">
        <v>621</v>
      </c>
      <c r="B139" s="103" t="s">
        <v>622</v>
      </c>
      <c r="C139" s="101" t="s">
        <v>29</v>
      </c>
    </row>
    <row r="140" spans="1:3">
      <c r="A140" s="103" t="s">
        <v>625</v>
      </c>
      <c r="B140" s="103" t="s">
        <v>626</v>
      </c>
      <c r="C140" s="101" t="s">
        <v>29</v>
      </c>
    </row>
    <row r="141" spans="1:3">
      <c r="A141" s="103" t="s">
        <v>629</v>
      </c>
      <c r="B141" s="103" t="s">
        <v>630</v>
      </c>
      <c r="C141" s="101" t="s">
        <v>29</v>
      </c>
    </row>
    <row r="142" spans="1:3">
      <c r="A142" s="103" t="s">
        <v>633</v>
      </c>
      <c r="B142" s="103" t="s">
        <v>634</v>
      </c>
      <c r="C142" s="101" t="s">
        <v>29</v>
      </c>
    </row>
    <row r="143" spans="1:3">
      <c r="A143" s="103" t="s">
        <v>637</v>
      </c>
      <c r="B143" s="103" t="s">
        <v>638</v>
      </c>
      <c r="C143" s="101" t="s">
        <v>29</v>
      </c>
    </row>
    <row r="144" spans="1:3">
      <c r="A144" s="103" t="s">
        <v>641</v>
      </c>
      <c r="B144" s="103" t="s">
        <v>642</v>
      </c>
      <c r="C144" s="101" t="s">
        <v>29</v>
      </c>
    </row>
    <row r="145" spans="1:3">
      <c r="A145" s="103" t="s">
        <v>645</v>
      </c>
      <c r="B145" s="103" t="s">
        <v>646</v>
      </c>
      <c r="C145" s="101" t="s">
        <v>29</v>
      </c>
    </row>
    <row r="146" spans="1:3">
      <c r="A146" s="103" t="s">
        <v>649</v>
      </c>
      <c r="B146" s="103" t="s">
        <v>650</v>
      </c>
      <c r="C146" s="101" t="s">
        <v>29</v>
      </c>
    </row>
    <row r="147" spans="1:3">
      <c r="A147" s="103" t="s">
        <v>653</v>
      </c>
      <c r="B147" s="103" t="s">
        <v>654</v>
      </c>
      <c r="C147" s="101" t="s">
        <v>29</v>
      </c>
    </row>
    <row r="148" spans="1:3">
      <c r="A148" s="103" t="s">
        <v>657</v>
      </c>
      <c r="B148" s="103" t="s">
        <v>658</v>
      </c>
      <c r="C148" s="101" t="s">
        <v>29</v>
      </c>
    </row>
    <row r="149" spans="1:3">
      <c r="A149" s="103" t="s">
        <v>661</v>
      </c>
      <c r="B149" s="103" t="s">
        <v>662</v>
      </c>
      <c r="C149" s="101" t="s">
        <v>29</v>
      </c>
    </row>
    <row r="150" spans="1:3">
      <c r="A150" s="103" t="s">
        <v>665</v>
      </c>
      <c r="B150" s="103" t="s">
        <v>666</v>
      </c>
      <c r="C150" s="101" t="s">
        <v>29</v>
      </c>
    </row>
    <row r="151" spans="1:3">
      <c r="A151" s="103" t="s">
        <v>669</v>
      </c>
      <c r="B151" s="103" t="s">
        <v>670</v>
      </c>
      <c r="C151" s="101" t="s">
        <v>29</v>
      </c>
    </row>
    <row r="152" spans="1:3">
      <c r="A152" s="103" t="s">
        <v>673</v>
      </c>
      <c r="B152" s="103" t="s">
        <v>674</v>
      </c>
      <c r="C152" s="101" t="s">
        <v>29</v>
      </c>
    </row>
    <row r="153" spans="1:3">
      <c r="A153" s="103" t="s">
        <v>677</v>
      </c>
      <c r="B153" s="103" t="s">
        <v>678</v>
      </c>
      <c r="C153" s="101" t="s">
        <v>29</v>
      </c>
    </row>
    <row r="154" spans="1:3">
      <c r="A154" s="103" t="s">
        <v>685</v>
      </c>
      <c r="B154" s="103" t="s">
        <v>686</v>
      </c>
      <c r="C154" s="101" t="s">
        <v>29</v>
      </c>
    </row>
    <row r="155" spans="1:3">
      <c r="A155" s="103" t="s">
        <v>689</v>
      </c>
      <c r="B155" s="103" t="s">
        <v>690</v>
      </c>
      <c r="C155" s="101" t="s">
        <v>29</v>
      </c>
    </row>
    <row r="156" spans="1:3">
      <c r="A156" s="103"/>
      <c r="B156" s="103"/>
    </row>
    <row r="157" spans="1:3">
      <c r="A157" s="103"/>
      <c r="B157" s="103"/>
    </row>
    <row r="158" spans="1:3">
      <c r="A158" s="103"/>
      <c r="B158" s="103"/>
    </row>
    <row r="159" spans="1:3">
      <c r="A159" s="103"/>
      <c r="B159" s="103"/>
    </row>
    <row r="160" spans="1:3">
      <c r="A160" s="103"/>
      <c r="B160" s="10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36E4-1B9E-0242-A6B5-42B6DCDDCBC9}">
  <dimension ref="A1:C55"/>
  <sheetViews>
    <sheetView topLeftCell="A35" workbookViewId="0">
      <selection activeCell="A8" sqref="A8:XFD9"/>
    </sheetView>
  </sheetViews>
  <sheetFormatPr baseColWidth="10" defaultRowHeight="21"/>
  <cols>
    <col min="1" max="1" width="10.83203125" style="88"/>
    <col min="2" max="2" width="40.83203125" style="88" customWidth="1"/>
    <col min="3" max="3" width="20.6640625" style="88" customWidth="1"/>
  </cols>
  <sheetData>
    <row r="1" spans="1:3">
      <c r="A1" s="90" t="s">
        <v>0</v>
      </c>
      <c r="B1" s="90" t="s">
        <v>839</v>
      </c>
      <c r="C1" s="88" t="s">
        <v>726</v>
      </c>
    </row>
    <row r="2" spans="1:3">
      <c r="A2" s="88" t="s">
        <v>60</v>
      </c>
      <c r="B2" s="88" t="s">
        <v>711</v>
      </c>
      <c r="C2" s="88" t="s">
        <v>28</v>
      </c>
    </row>
    <row r="3" spans="1:3">
      <c r="A3" s="88" t="s">
        <v>2</v>
      </c>
      <c r="B3" s="88" t="s">
        <v>2098</v>
      </c>
      <c r="C3" s="88" t="s">
        <v>28</v>
      </c>
    </row>
    <row r="4" spans="1:3">
      <c r="A4" s="88" t="s">
        <v>1146</v>
      </c>
      <c r="B4" s="88" t="s">
        <v>1856</v>
      </c>
      <c r="C4" s="88" t="s">
        <v>28</v>
      </c>
    </row>
    <row r="5" spans="1:3">
      <c r="A5" s="89" t="s">
        <v>1089</v>
      </c>
      <c r="B5" s="89" t="s">
        <v>2099</v>
      </c>
      <c r="C5" s="89" t="s">
        <v>28</v>
      </c>
    </row>
    <row r="6" spans="1:3">
      <c r="A6" s="89" t="s">
        <v>1827</v>
      </c>
      <c r="B6" s="89" t="s">
        <v>2100</v>
      </c>
      <c r="C6" s="89" t="s">
        <v>28</v>
      </c>
    </row>
    <row r="7" spans="1:3">
      <c r="A7" s="89" t="s">
        <v>1912</v>
      </c>
      <c r="B7" s="89" t="s">
        <v>2061</v>
      </c>
      <c r="C7" s="89" t="s">
        <v>28</v>
      </c>
    </row>
    <row r="8" spans="1:3">
      <c r="A8" s="89" t="s">
        <v>1855</v>
      </c>
      <c r="B8" s="89" t="s">
        <v>2101</v>
      </c>
      <c r="C8" s="89" t="s">
        <v>28</v>
      </c>
    </row>
    <row r="9" spans="1:3">
      <c r="A9" s="89" t="s">
        <v>20</v>
      </c>
      <c r="B9" s="89" t="s">
        <v>725</v>
      </c>
      <c r="C9" s="89" t="s">
        <v>28</v>
      </c>
    </row>
    <row r="10" spans="1:3">
      <c r="A10" s="89" t="s">
        <v>1090</v>
      </c>
      <c r="B10" s="89" t="s">
        <v>2102</v>
      </c>
      <c r="C10" s="89" t="s">
        <v>28</v>
      </c>
    </row>
    <row r="11" spans="1:3">
      <c r="A11" s="89" t="s">
        <v>2104</v>
      </c>
      <c r="B11" s="89" t="s">
        <v>2103</v>
      </c>
      <c r="C11" s="89" t="s">
        <v>28</v>
      </c>
    </row>
    <row r="12" spans="1:3">
      <c r="A12" s="89" t="s">
        <v>2105</v>
      </c>
      <c r="B12" s="89" t="s">
        <v>2106</v>
      </c>
      <c r="C12" s="89" t="s">
        <v>29</v>
      </c>
    </row>
    <row r="13" spans="1:3">
      <c r="A13" s="89" t="s">
        <v>2107</v>
      </c>
      <c r="B13" s="89" t="s">
        <v>1073</v>
      </c>
      <c r="C13" s="89" t="s">
        <v>29</v>
      </c>
    </row>
    <row r="14" spans="1:3">
      <c r="A14" s="88" t="s">
        <v>1845</v>
      </c>
      <c r="B14" s="91" t="s">
        <v>1987</v>
      </c>
      <c r="C14" s="88" t="s">
        <v>28</v>
      </c>
    </row>
    <row r="15" spans="1:3">
      <c r="A15" s="88" t="s">
        <v>12</v>
      </c>
      <c r="B15" s="91" t="s">
        <v>2007</v>
      </c>
      <c r="C15" s="88" t="s">
        <v>28</v>
      </c>
    </row>
    <row r="16" spans="1:3">
      <c r="A16" s="88" t="s">
        <v>1878</v>
      </c>
      <c r="B16" s="91" t="s">
        <v>2026</v>
      </c>
      <c r="C16" s="88" t="s">
        <v>28</v>
      </c>
    </row>
    <row r="17" spans="1:3">
      <c r="A17" s="88" t="s">
        <v>1879</v>
      </c>
      <c r="B17" s="91" t="s">
        <v>2027</v>
      </c>
      <c r="C17" s="88" t="s">
        <v>28</v>
      </c>
    </row>
    <row r="18" spans="1:3">
      <c r="A18" s="88" t="s">
        <v>1881</v>
      </c>
      <c r="B18" s="91" t="s">
        <v>2029</v>
      </c>
      <c r="C18" s="88" t="s">
        <v>28</v>
      </c>
    </row>
    <row r="19" spans="1:3">
      <c r="A19" s="88" t="s">
        <v>1882</v>
      </c>
      <c r="B19" s="91" t="s">
        <v>2030</v>
      </c>
      <c r="C19" s="88" t="s">
        <v>28</v>
      </c>
    </row>
    <row r="20" spans="1:3">
      <c r="A20" s="88" t="s">
        <v>1883</v>
      </c>
      <c r="B20" s="91" t="s">
        <v>2031</v>
      </c>
      <c r="C20" s="88" t="s">
        <v>28</v>
      </c>
    </row>
    <row r="21" spans="1:3">
      <c r="A21" s="88" t="s">
        <v>1882</v>
      </c>
      <c r="B21" s="91" t="s">
        <v>2030</v>
      </c>
      <c r="C21" s="88" t="s">
        <v>28</v>
      </c>
    </row>
    <row r="22" spans="1:3">
      <c r="A22" s="88" t="s">
        <v>1889</v>
      </c>
      <c r="B22" s="91" t="s">
        <v>2036</v>
      </c>
      <c r="C22" s="88" t="s">
        <v>28</v>
      </c>
    </row>
    <row r="23" spans="1:3">
      <c r="A23" s="88" t="s">
        <v>1890</v>
      </c>
      <c r="B23" s="91" t="s">
        <v>2037</v>
      </c>
      <c r="C23" s="88" t="s">
        <v>28</v>
      </c>
    </row>
    <row r="24" spans="1:3">
      <c r="A24" s="88" t="s">
        <v>1891</v>
      </c>
      <c r="B24" s="91" t="s">
        <v>2038</v>
      </c>
      <c r="C24" s="88" t="s">
        <v>28</v>
      </c>
    </row>
    <row r="25" spans="1:3">
      <c r="A25" s="88" t="s">
        <v>1892</v>
      </c>
      <c r="B25" s="91" t="s">
        <v>2039</v>
      </c>
      <c r="C25" s="88" t="s">
        <v>28</v>
      </c>
    </row>
    <row r="26" spans="1:3">
      <c r="A26" s="88" t="s">
        <v>1893</v>
      </c>
      <c r="B26" s="91" t="s">
        <v>2040</v>
      </c>
      <c r="C26" s="88" t="s">
        <v>28</v>
      </c>
    </row>
    <row r="27" spans="1:3">
      <c r="A27" s="88" t="s">
        <v>2108</v>
      </c>
      <c r="B27" s="91" t="s">
        <v>2109</v>
      </c>
      <c r="C27" s="88" t="s">
        <v>29</v>
      </c>
    </row>
    <row r="28" spans="1:3">
      <c r="A28" s="92" t="s">
        <v>756</v>
      </c>
      <c r="B28" s="91" t="s">
        <v>757</v>
      </c>
      <c r="C28" s="92" t="s">
        <v>29</v>
      </c>
    </row>
    <row r="29" spans="1:3">
      <c r="A29" s="92" t="s">
        <v>758</v>
      </c>
      <c r="B29" s="91" t="s">
        <v>759</v>
      </c>
      <c r="C29" s="92" t="s">
        <v>29</v>
      </c>
    </row>
    <row r="30" spans="1:3">
      <c r="A30" s="92" t="s">
        <v>760</v>
      </c>
      <c r="B30" s="92" t="s">
        <v>761</v>
      </c>
      <c r="C30" s="92" t="s">
        <v>29</v>
      </c>
    </row>
    <row r="31" spans="1:3">
      <c r="A31" s="92" t="s">
        <v>762</v>
      </c>
      <c r="B31" s="91" t="s">
        <v>763</v>
      </c>
      <c r="C31" s="92" t="s">
        <v>29</v>
      </c>
    </row>
    <row r="32" spans="1:3">
      <c r="A32" s="92" t="s">
        <v>764</v>
      </c>
      <c r="B32" s="92" t="s">
        <v>765</v>
      </c>
      <c r="C32" s="92" t="s">
        <v>29</v>
      </c>
    </row>
    <row r="33" spans="1:3">
      <c r="A33" s="92" t="s">
        <v>766</v>
      </c>
      <c r="B33" s="92" t="s">
        <v>767</v>
      </c>
      <c r="C33" s="92" t="s">
        <v>29</v>
      </c>
    </row>
    <row r="34" spans="1:3">
      <c r="A34" s="92" t="s">
        <v>768</v>
      </c>
      <c r="B34" s="92" t="s">
        <v>769</v>
      </c>
      <c r="C34" s="92" t="s">
        <v>29</v>
      </c>
    </row>
    <row r="35" spans="1:3">
      <c r="A35" s="92" t="s">
        <v>770</v>
      </c>
      <c r="B35" s="92" t="s">
        <v>771</v>
      </c>
      <c r="C35" s="92" t="s">
        <v>29</v>
      </c>
    </row>
    <row r="36" spans="1:3">
      <c r="A36" s="92" t="s">
        <v>772</v>
      </c>
      <c r="B36" s="92" t="s">
        <v>773</v>
      </c>
      <c r="C36" s="92" t="s">
        <v>29</v>
      </c>
    </row>
    <row r="37" spans="1:3">
      <c r="A37" s="92" t="s">
        <v>774</v>
      </c>
      <c r="B37" s="91" t="s">
        <v>775</v>
      </c>
      <c r="C37" s="92" t="s">
        <v>29</v>
      </c>
    </row>
    <row r="38" spans="1:3">
      <c r="A38" s="92" t="s">
        <v>776</v>
      </c>
      <c r="B38" s="91" t="s">
        <v>777</v>
      </c>
      <c r="C38" s="92" t="s">
        <v>29</v>
      </c>
    </row>
    <row r="39" spans="1:3">
      <c r="A39" s="92" t="s">
        <v>778</v>
      </c>
      <c r="B39" s="91" t="s">
        <v>779</v>
      </c>
      <c r="C39" s="92" t="s">
        <v>29</v>
      </c>
    </row>
    <row r="40" spans="1:3">
      <c r="A40" s="91" t="s">
        <v>780</v>
      </c>
      <c r="B40" s="91" t="s">
        <v>781</v>
      </c>
      <c r="C40" s="92" t="s">
        <v>29</v>
      </c>
    </row>
    <row r="41" spans="1:3">
      <c r="A41" s="91" t="s">
        <v>1101</v>
      </c>
      <c r="B41" s="91" t="s">
        <v>782</v>
      </c>
      <c r="C41" s="92" t="s">
        <v>28</v>
      </c>
    </row>
    <row r="42" spans="1:3">
      <c r="A42" s="91" t="s">
        <v>1810</v>
      </c>
      <c r="B42" s="93" t="s">
        <v>791</v>
      </c>
      <c r="C42" s="93" t="s">
        <v>29</v>
      </c>
    </row>
    <row r="43" spans="1:3">
      <c r="A43" s="94" t="s">
        <v>5</v>
      </c>
      <c r="B43" s="94" t="s">
        <v>36</v>
      </c>
      <c r="C43" s="95" t="s">
        <v>28</v>
      </c>
    </row>
    <row r="44" spans="1:3">
      <c r="A44" s="96" t="s">
        <v>6</v>
      </c>
      <c r="B44" s="96" t="s">
        <v>37</v>
      </c>
      <c r="C44" s="97" t="s">
        <v>28</v>
      </c>
    </row>
    <row r="45" spans="1:3">
      <c r="A45" s="96" t="s">
        <v>7</v>
      </c>
      <c r="B45" s="96" t="s">
        <v>38</v>
      </c>
      <c r="C45" s="97" t="s">
        <v>28</v>
      </c>
    </row>
    <row r="46" spans="1:3">
      <c r="A46" s="96" t="s">
        <v>8</v>
      </c>
      <c r="B46" s="96" t="s">
        <v>39</v>
      </c>
      <c r="C46" s="97" t="s">
        <v>28</v>
      </c>
    </row>
    <row r="47" spans="1:3">
      <c r="A47" s="96" t="s">
        <v>9</v>
      </c>
      <c r="B47" s="96" t="s">
        <v>40</v>
      </c>
      <c r="C47" s="97" t="s">
        <v>28</v>
      </c>
    </row>
    <row r="48" spans="1:3">
      <c r="A48" s="96" t="s">
        <v>10</v>
      </c>
      <c r="B48" s="96" t="s">
        <v>41</v>
      </c>
      <c r="C48" s="97" t="s">
        <v>28</v>
      </c>
    </row>
    <row r="49" spans="1:3">
      <c r="A49" s="96" t="s">
        <v>11</v>
      </c>
      <c r="B49" s="96" t="s">
        <v>42</v>
      </c>
      <c r="C49" s="97" t="s">
        <v>28</v>
      </c>
    </row>
    <row r="50" spans="1:3">
      <c r="A50" s="96" t="s">
        <v>12</v>
      </c>
      <c r="B50" s="96" t="s">
        <v>43</v>
      </c>
      <c r="C50" s="97" t="s">
        <v>28</v>
      </c>
    </row>
    <row r="51" spans="1:3">
      <c r="A51" s="96" t="s">
        <v>13</v>
      </c>
      <c r="B51" s="96" t="s">
        <v>44</v>
      </c>
      <c r="C51" s="97" t="s">
        <v>28</v>
      </c>
    </row>
    <row r="52" spans="1:3">
      <c r="A52" s="96" t="s">
        <v>14</v>
      </c>
      <c r="B52" s="96" t="s">
        <v>45</v>
      </c>
      <c r="C52" s="97" t="s">
        <v>28</v>
      </c>
    </row>
    <row r="53" spans="1:3">
      <c r="A53" s="93" t="s">
        <v>792</v>
      </c>
      <c r="B53" s="91" t="s">
        <v>793</v>
      </c>
      <c r="C53" s="98" t="s">
        <v>28</v>
      </c>
    </row>
    <row r="54" spans="1:3">
      <c r="A54" s="92" t="s">
        <v>783</v>
      </c>
      <c r="B54" s="91" t="s">
        <v>784</v>
      </c>
      <c r="C54" s="92" t="s">
        <v>29</v>
      </c>
    </row>
    <row r="55" spans="1:3">
      <c r="A55" s="92" t="s">
        <v>785</v>
      </c>
      <c r="B55" s="92" t="s">
        <v>786</v>
      </c>
      <c r="C55" s="92" t="s">
        <v>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FED5-D905-8D4F-BED8-65C2F60D0EC9}">
  <dimension ref="A1:C138"/>
  <sheetViews>
    <sheetView topLeftCell="A122" workbookViewId="0">
      <selection activeCell="A79" sqref="A79:C83"/>
    </sheetView>
  </sheetViews>
  <sheetFormatPr baseColWidth="10" defaultRowHeight="15"/>
  <cols>
    <col min="2" max="2" width="45.5" customWidth="1"/>
  </cols>
  <sheetData>
    <row r="1" spans="1:3" ht="20">
      <c r="A1" s="57" t="s">
        <v>0</v>
      </c>
      <c r="B1" s="57" t="s">
        <v>839</v>
      </c>
      <c r="C1" s="58" t="s">
        <v>726</v>
      </c>
    </row>
    <row r="2" spans="1:3" ht="23">
      <c r="A2" t="s">
        <v>1091</v>
      </c>
      <c r="B2" s="18" t="s">
        <v>1968</v>
      </c>
      <c r="C2" s="19" t="s">
        <v>28</v>
      </c>
    </row>
    <row r="3" spans="1:3" ht="23">
      <c r="A3" t="s">
        <v>1923</v>
      </c>
      <c r="B3" s="18" t="s">
        <v>1924</v>
      </c>
      <c r="C3" s="19" t="s">
        <v>28</v>
      </c>
    </row>
    <row r="4" spans="1:3" ht="23">
      <c r="A4" s="19" t="s">
        <v>1146</v>
      </c>
      <c r="B4" s="18" t="s">
        <v>1856</v>
      </c>
      <c r="C4" s="19" t="s">
        <v>28</v>
      </c>
    </row>
    <row r="5" spans="1:3" ht="23">
      <c r="A5" s="19" t="s">
        <v>1911</v>
      </c>
      <c r="B5" s="18" t="s">
        <v>2055</v>
      </c>
      <c r="C5" s="19" t="s">
        <v>28</v>
      </c>
    </row>
    <row r="6" spans="1:3" ht="23">
      <c r="A6" t="s">
        <v>1824</v>
      </c>
      <c r="B6" s="18" t="s">
        <v>1965</v>
      </c>
      <c r="C6" s="19" t="s">
        <v>28</v>
      </c>
    </row>
    <row r="7" spans="1:3" ht="23">
      <c r="A7" t="s">
        <v>1825</v>
      </c>
      <c r="B7" s="18" t="s">
        <v>1812</v>
      </c>
      <c r="C7" s="19" t="s">
        <v>28</v>
      </c>
    </row>
    <row r="8" spans="1:3" ht="23">
      <c r="A8" s="18" t="s">
        <v>1826</v>
      </c>
      <c r="B8" s="18" t="s">
        <v>1966</v>
      </c>
      <c r="C8" s="19" t="s">
        <v>28</v>
      </c>
    </row>
    <row r="9" spans="1:3" ht="23">
      <c r="A9" s="18" t="s">
        <v>1827</v>
      </c>
      <c r="B9" s="18" t="s">
        <v>1967</v>
      </c>
      <c r="C9" s="19" t="s">
        <v>28</v>
      </c>
    </row>
    <row r="10" spans="1:3" ht="23">
      <c r="A10" t="s">
        <v>1828</v>
      </c>
      <c r="B10" s="18" t="s">
        <v>1969</v>
      </c>
      <c r="C10" s="19" t="s">
        <v>29</v>
      </c>
    </row>
    <row r="11" spans="1:3" ht="23">
      <c r="A11" t="s">
        <v>1090</v>
      </c>
      <c r="B11" s="18" t="s">
        <v>1970</v>
      </c>
      <c r="C11" s="19" t="s">
        <v>29</v>
      </c>
    </row>
    <row r="12" spans="1:3" ht="23">
      <c r="A12" s="19" t="s">
        <v>1811</v>
      </c>
      <c r="B12" s="18" t="s">
        <v>1971</v>
      </c>
      <c r="C12" s="19" t="s">
        <v>28</v>
      </c>
    </row>
    <row r="13" spans="1:3" ht="23">
      <c r="A13" t="s">
        <v>1829</v>
      </c>
      <c r="B13" s="18" t="s">
        <v>1972</v>
      </c>
      <c r="C13" s="19" t="s">
        <v>29</v>
      </c>
    </row>
    <row r="14" spans="1:3" ht="23">
      <c r="A14" t="s">
        <v>1830</v>
      </c>
      <c r="B14" s="18" t="s">
        <v>1973</v>
      </c>
      <c r="C14" s="19" t="s">
        <v>29</v>
      </c>
    </row>
    <row r="15" spans="1:3" ht="23">
      <c r="A15" t="s">
        <v>1831</v>
      </c>
      <c r="B15" s="18" t="s">
        <v>1974</v>
      </c>
      <c r="C15" s="19" t="s">
        <v>29</v>
      </c>
    </row>
    <row r="16" spans="1:3" ht="23">
      <c r="A16" t="s">
        <v>1832</v>
      </c>
      <c r="B16" s="18" t="s">
        <v>1975</v>
      </c>
      <c r="C16" s="19" t="s">
        <v>29</v>
      </c>
    </row>
    <row r="17" spans="1:3" ht="23">
      <c r="A17" t="s">
        <v>1833</v>
      </c>
      <c r="B17" s="18" t="s">
        <v>1976</v>
      </c>
      <c r="C17" s="19" t="s">
        <v>29</v>
      </c>
    </row>
    <row r="18" spans="1:3" ht="23">
      <c r="A18" t="s">
        <v>1834</v>
      </c>
      <c r="B18" s="18" t="s">
        <v>1977</v>
      </c>
      <c r="C18" s="19" t="s">
        <v>29</v>
      </c>
    </row>
    <row r="19" spans="1:3" ht="23">
      <c r="A19" t="s">
        <v>1835</v>
      </c>
      <c r="B19" s="18" t="s">
        <v>1978</v>
      </c>
      <c r="C19" s="19" t="s">
        <v>28</v>
      </c>
    </row>
    <row r="20" spans="1:3" ht="23">
      <c r="A20" t="s">
        <v>1836</v>
      </c>
      <c r="B20" s="18" t="s">
        <v>1979</v>
      </c>
      <c r="C20" s="19" t="s">
        <v>28</v>
      </c>
    </row>
    <row r="21" spans="1:3" ht="23">
      <c r="A21" t="s">
        <v>1837</v>
      </c>
      <c r="B21" s="18" t="s">
        <v>1756</v>
      </c>
      <c r="C21" s="19" t="s">
        <v>28</v>
      </c>
    </row>
    <row r="22" spans="1:3" ht="23">
      <c r="A22" t="s">
        <v>1838</v>
      </c>
      <c r="B22" s="18" t="s">
        <v>1980</v>
      </c>
      <c r="C22" s="19" t="s">
        <v>28</v>
      </c>
    </row>
    <row r="23" spans="1:3" ht="23">
      <c r="A23" t="s">
        <v>1839</v>
      </c>
      <c r="B23" s="18" t="s">
        <v>1981</v>
      </c>
      <c r="C23" s="19" t="s">
        <v>28</v>
      </c>
    </row>
    <row r="24" spans="1:3" ht="23">
      <c r="A24" t="s">
        <v>1840</v>
      </c>
      <c r="B24" s="18" t="s">
        <v>1982</v>
      </c>
      <c r="C24" s="19" t="s">
        <v>704</v>
      </c>
    </row>
    <row r="25" spans="1:3" ht="23">
      <c r="A25" t="s">
        <v>1128</v>
      </c>
      <c r="B25" s="18" t="s">
        <v>1983</v>
      </c>
      <c r="C25" s="19" t="s">
        <v>704</v>
      </c>
    </row>
    <row r="26" spans="1:3" ht="23">
      <c r="A26" t="s">
        <v>1841</v>
      </c>
      <c r="B26" s="18" t="s">
        <v>1984</v>
      </c>
      <c r="C26" s="19" t="s">
        <v>28</v>
      </c>
    </row>
    <row r="27" spans="1:3" ht="23">
      <c r="A27" t="s">
        <v>1089</v>
      </c>
      <c r="B27" s="18" t="s">
        <v>1842</v>
      </c>
      <c r="C27" s="19" t="s">
        <v>28</v>
      </c>
    </row>
    <row r="28" spans="1:3" ht="23">
      <c r="A28" t="s">
        <v>1843</v>
      </c>
      <c r="B28" s="18" t="s">
        <v>1985</v>
      </c>
      <c r="C28" s="19" t="s">
        <v>28</v>
      </c>
    </row>
    <row r="29" spans="1:3" ht="23">
      <c r="A29" t="s">
        <v>1844</v>
      </c>
      <c r="B29" s="18" t="s">
        <v>1986</v>
      </c>
      <c r="C29" s="19" t="s">
        <v>28</v>
      </c>
    </row>
    <row r="30" spans="1:3" ht="23">
      <c r="A30" s="19" t="s">
        <v>1845</v>
      </c>
      <c r="B30" s="18" t="s">
        <v>1987</v>
      </c>
      <c r="C30" s="19" t="s">
        <v>28</v>
      </c>
    </row>
    <row r="31" spans="1:3" ht="23">
      <c r="A31" t="s">
        <v>1846</v>
      </c>
      <c r="B31" s="18" t="s">
        <v>1988</v>
      </c>
      <c r="C31" s="19" t="s">
        <v>28</v>
      </c>
    </row>
    <row r="32" spans="1:3" ht="23">
      <c r="A32" t="s">
        <v>1847</v>
      </c>
      <c r="B32" s="18" t="s">
        <v>1989</v>
      </c>
      <c r="C32" s="19" t="s">
        <v>28</v>
      </c>
    </row>
    <row r="33" spans="1:3" ht="23">
      <c r="A33" t="s">
        <v>1848</v>
      </c>
      <c r="B33" s="18" t="s">
        <v>1990</v>
      </c>
      <c r="C33" s="19" t="s">
        <v>28</v>
      </c>
    </row>
    <row r="34" spans="1:3" ht="23">
      <c r="A34" t="s">
        <v>9</v>
      </c>
      <c r="B34" s="18" t="s">
        <v>1991</v>
      </c>
      <c r="C34" s="19" t="s">
        <v>28</v>
      </c>
    </row>
    <row r="35" spans="1:3" ht="23">
      <c r="A35" t="s">
        <v>1849</v>
      </c>
      <c r="B35" s="18" t="s">
        <v>1992</v>
      </c>
      <c r="C35" s="19" t="s">
        <v>28</v>
      </c>
    </row>
    <row r="36" spans="1:3" ht="23">
      <c r="A36" t="s">
        <v>1850</v>
      </c>
      <c r="B36" s="18" t="s">
        <v>1993</v>
      </c>
      <c r="C36" s="19" t="s">
        <v>28</v>
      </c>
    </row>
    <row r="37" spans="1:3" ht="23">
      <c r="A37" t="s">
        <v>1851</v>
      </c>
      <c r="B37" s="18" t="s">
        <v>1994</v>
      </c>
      <c r="C37" s="19" t="s">
        <v>28</v>
      </c>
    </row>
    <row r="38" spans="1:3" ht="23">
      <c r="A38" t="s">
        <v>1852</v>
      </c>
      <c r="B38" s="18" t="s">
        <v>1995</v>
      </c>
      <c r="C38" s="19" t="s">
        <v>28</v>
      </c>
    </row>
    <row r="39" spans="1:3" ht="23">
      <c r="A39" t="s">
        <v>1853</v>
      </c>
      <c r="B39" s="18" t="s">
        <v>1996</v>
      </c>
      <c r="C39" s="19" t="s">
        <v>28</v>
      </c>
    </row>
    <row r="40" spans="1:3" ht="23">
      <c r="A40" t="s">
        <v>1854</v>
      </c>
      <c r="B40" s="18" t="s">
        <v>1997</v>
      </c>
      <c r="C40" s="19" t="s">
        <v>28</v>
      </c>
    </row>
    <row r="41" spans="1:3" ht="23">
      <c r="A41" t="s">
        <v>59</v>
      </c>
      <c r="B41" s="18" t="s">
        <v>1998</v>
      </c>
      <c r="C41" s="19" t="s">
        <v>28</v>
      </c>
    </row>
    <row r="42" spans="1:3" ht="23">
      <c r="A42" t="s">
        <v>1855</v>
      </c>
      <c r="B42" s="18" t="s">
        <v>1999</v>
      </c>
      <c r="C42" s="19" t="s">
        <v>28</v>
      </c>
    </row>
    <row r="43" spans="1:3" ht="23">
      <c r="A43" t="s">
        <v>1857</v>
      </c>
      <c r="B43" s="18" t="s">
        <v>2000</v>
      </c>
      <c r="C43" s="19" t="s">
        <v>28</v>
      </c>
    </row>
    <row r="44" spans="1:3" ht="23">
      <c r="A44" t="s">
        <v>1858</v>
      </c>
      <c r="B44" s="18" t="s">
        <v>2001</v>
      </c>
      <c r="C44" s="19" t="s">
        <v>28</v>
      </c>
    </row>
    <row r="45" spans="1:3" ht="23">
      <c r="A45" t="s">
        <v>1859</v>
      </c>
      <c r="B45" s="18" t="s">
        <v>2002</v>
      </c>
      <c r="C45" s="19" t="s">
        <v>28</v>
      </c>
    </row>
    <row r="46" spans="1:3" ht="23">
      <c r="A46" t="s">
        <v>1860</v>
      </c>
      <c r="B46" s="18" t="s">
        <v>2003</v>
      </c>
      <c r="C46" s="19" t="s">
        <v>29</v>
      </c>
    </row>
    <row r="47" spans="1:3" ht="23">
      <c r="A47" t="s">
        <v>1861</v>
      </c>
      <c r="B47" s="18" t="s">
        <v>2004</v>
      </c>
      <c r="C47" s="19" t="s">
        <v>28</v>
      </c>
    </row>
    <row r="48" spans="1:3" ht="23">
      <c r="A48" t="s">
        <v>1862</v>
      </c>
      <c r="B48" s="18" t="s">
        <v>2005</v>
      </c>
      <c r="C48" s="19" t="s">
        <v>28</v>
      </c>
    </row>
    <row r="49" spans="1:3" ht="23">
      <c r="A49" t="s">
        <v>1863</v>
      </c>
      <c r="B49" s="18" t="s">
        <v>2006</v>
      </c>
      <c r="C49" s="19" t="s">
        <v>28</v>
      </c>
    </row>
    <row r="50" spans="1:3" ht="23">
      <c r="A50" t="s">
        <v>12</v>
      </c>
      <c r="B50" s="18" t="s">
        <v>2007</v>
      </c>
      <c r="C50" s="19" t="s">
        <v>28</v>
      </c>
    </row>
    <row r="51" spans="1:3" ht="23">
      <c r="A51" t="s">
        <v>1864</v>
      </c>
      <c r="B51" s="18" t="s">
        <v>2008</v>
      </c>
      <c r="C51" s="19" t="s">
        <v>28</v>
      </c>
    </row>
    <row r="52" spans="1:3" ht="23">
      <c r="A52" t="s">
        <v>1865</v>
      </c>
      <c r="B52" s="18" t="s">
        <v>2009</v>
      </c>
      <c r="C52" s="19" t="s">
        <v>28</v>
      </c>
    </row>
    <row r="53" spans="1:3" ht="23">
      <c r="A53" t="s">
        <v>1866</v>
      </c>
      <c r="B53" s="18" t="s">
        <v>2010</v>
      </c>
      <c r="C53" s="19" t="s">
        <v>28</v>
      </c>
    </row>
    <row r="54" spans="1:3" ht="23">
      <c r="A54" t="s">
        <v>1867</v>
      </c>
      <c r="B54" s="18" t="s">
        <v>2011</v>
      </c>
      <c r="C54" s="19" t="s">
        <v>28</v>
      </c>
    </row>
    <row r="55" spans="1:3" ht="23">
      <c r="A55" t="s">
        <v>8</v>
      </c>
      <c r="B55" s="18" t="s">
        <v>2012</v>
      </c>
      <c r="C55" s="19" t="s">
        <v>28</v>
      </c>
    </row>
    <row r="56" spans="1:3" ht="23">
      <c r="A56" s="19" t="s">
        <v>1868</v>
      </c>
      <c r="B56" s="18" t="s">
        <v>2013</v>
      </c>
      <c r="C56" s="19" t="s">
        <v>28</v>
      </c>
    </row>
    <row r="57" spans="1:3" ht="23">
      <c r="A57" t="s">
        <v>14</v>
      </c>
      <c r="B57" s="18" t="s">
        <v>2014</v>
      </c>
      <c r="C57" s="19" t="s">
        <v>28</v>
      </c>
    </row>
    <row r="58" spans="1:3" ht="23">
      <c r="A58" s="18" t="s">
        <v>1869</v>
      </c>
      <c r="B58" s="18" t="s">
        <v>2015</v>
      </c>
      <c r="C58" s="19" t="s">
        <v>28</v>
      </c>
    </row>
    <row r="59" spans="1:3" ht="23">
      <c r="A59" t="s">
        <v>1870</v>
      </c>
      <c r="B59" s="18" t="s">
        <v>2016</v>
      </c>
      <c r="C59" s="19" t="s">
        <v>28</v>
      </c>
    </row>
    <row r="60" spans="1:3" ht="23">
      <c r="A60" t="s">
        <v>1871</v>
      </c>
      <c r="B60" s="18" t="s">
        <v>2017</v>
      </c>
      <c r="C60" s="19" t="s">
        <v>28</v>
      </c>
    </row>
    <row r="61" spans="1:3" ht="23">
      <c r="A61" s="19" t="s">
        <v>1106</v>
      </c>
      <c r="B61" s="18" t="s">
        <v>2018</v>
      </c>
      <c r="C61" s="19" t="s">
        <v>28</v>
      </c>
    </row>
    <row r="62" spans="1:3" ht="23">
      <c r="A62" t="s">
        <v>1872</v>
      </c>
      <c r="B62" s="18" t="s">
        <v>2019</v>
      </c>
      <c r="C62" s="19" t="s">
        <v>28</v>
      </c>
    </row>
    <row r="63" spans="1:3" ht="23">
      <c r="A63" t="s">
        <v>1873</v>
      </c>
      <c r="B63" s="18" t="s">
        <v>2020</v>
      </c>
      <c r="C63" s="19" t="s">
        <v>28</v>
      </c>
    </row>
    <row r="64" spans="1:3" ht="23">
      <c r="A64" t="s">
        <v>1874</v>
      </c>
      <c r="B64" s="18" t="s">
        <v>2021</v>
      </c>
      <c r="C64" s="19" t="s">
        <v>28</v>
      </c>
    </row>
    <row r="65" spans="1:3" ht="23">
      <c r="A65" t="s">
        <v>1875</v>
      </c>
      <c r="B65" s="18" t="s">
        <v>2022</v>
      </c>
      <c r="C65" s="19" t="s">
        <v>28</v>
      </c>
    </row>
    <row r="66" spans="1:3" ht="23">
      <c r="A66" t="s">
        <v>1876</v>
      </c>
      <c r="B66" s="18" t="s">
        <v>2023</v>
      </c>
      <c r="C66" s="19" t="s">
        <v>28</v>
      </c>
    </row>
    <row r="67" spans="1:3" ht="23">
      <c r="A67" t="s">
        <v>1877</v>
      </c>
      <c r="B67" s="18" t="s">
        <v>2024</v>
      </c>
      <c r="C67" s="19" t="s">
        <v>28</v>
      </c>
    </row>
    <row r="68" spans="1:3" ht="23">
      <c r="A68" t="s">
        <v>1753</v>
      </c>
      <c r="B68" s="18" t="s">
        <v>2025</v>
      </c>
      <c r="C68" s="19" t="s">
        <v>28</v>
      </c>
    </row>
    <row r="69" spans="1:3" ht="23">
      <c r="A69" t="s">
        <v>1878</v>
      </c>
      <c r="B69" s="18" t="s">
        <v>2026</v>
      </c>
      <c r="C69" s="19" t="s">
        <v>28</v>
      </c>
    </row>
    <row r="70" spans="1:3" ht="23">
      <c r="A70" t="s">
        <v>1879</v>
      </c>
      <c r="B70" s="18" t="s">
        <v>2027</v>
      </c>
      <c r="C70" s="19" t="s">
        <v>28</v>
      </c>
    </row>
    <row r="71" spans="1:3" ht="23">
      <c r="A71" t="s">
        <v>1880</v>
      </c>
      <c r="B71" s="18" t="s">
        <v>2028</v>
      </c>
      <c r="C71" s="19" t="s">
        <v>28</v>
      </c>
    </row>
    <row r="72" spans="1:3" ht="23">
      <c r="A72" t="s">
        <v>1881</v>
      </c>
      <c r="B72" s="18" t="s">
        <v>2029</v>
      </c>
      <c r="C72" s="19" t="s">
        <v>28</v>
      </c>
    </row>
    <row r="73" spans="1:3" ht="23">
      <c r="A73" t="s">
        <v>1882</v>
      </c>
      <c r="B73" s="18" t="s">
        <v>2030</v>
      </c>
      <c r="C73" s="19" t="s">
        <v>28</v>
      </c>
    </row>
    <row r="74" spans="1:3" ht="23">
      <c r="A74" t="s">
        <v>1883</v>
      </c>
      <c r="B74" s="18" t="s">
        <v>2031</v>
      </c>
      <c r="C74" s="19" t="s">
        <v>1884</v>
      </c>
    </row>
    <row r="75" spans="1:3" ht="23">
      <c r="A75" t="s">
        <v>1885</v>
      </c>
      <c r="B75" s="18" t="s">
        <v>2032</v>
      </c>
      <c r="C75" s="19" t="s">
        <v>28</v>
      </c>
    </row>
    <row r="76" spans="1:3" ht="23">
      <c r="A76" t="s">
        <v>1886</v>
      </c>
      <c r="B76" s="18" t="s">
        <v>2033</v>
      </c>
      <c r="C76" s="19" t="s">
        <v>28</v>
      </c>
    </row>
    <row r="77" spans="1:3" ht="23">
      <c r="A77" t="s">
        <v>1887</v>
      </c>
      <c r="B77" s="18" t="s">
        <v>2034</v>
      </c>
      <c r="C77" s="19" t="s">
        <v>28</v>
      </c>
    </row>
    <row r="78" spans="1:3" ht="23">
      <c r="A78" t="s">
        <v>1888</v>
      </c>
      <c r="B78" s="18" t="s">
        <v>2035</v>
      </c>
      <c r="C78" s="19" t="s">
        <v>28</v>
      </c>
    </row>
    <row r="79" spans="1:3" ht="23">
      <c r="A79" t="s">
        <v>1889</v>
      </c>
      <c r="B79" s="18" t="s">
        <v>2036</v>
      </c>
      <c r="C79" s="19" t="s">
        <v>28</v>
      </c>
    </row>
    <row r="80" spans="1:3" ht="23">
      <c r="A80" t="s">
        <v>1890</v>
      </c>
      <c r="B80" s="18" t="s">
        <v>2037</v>
      </c>
      <c r="C80" s="19" t="s">
        <v>28</v>
      </c>
    </row>
    <row r="81" spans="1:3" ht="23">
      <c r="A81" t="s">
        <v>1891</v>
      </c>
      <c r="B81" s="18" t="s">
        <v>2038</v>
      </c>
      <c r="C81" s="19" t="s">
        <v>28</v>
      </c>
    </row>
    <row r="82" spans="1:3" ht="23">
      <c r="A82" t="s">
        <v>1892</v>
      </c>
      <c r="B82" s="18" t="s">
        <v>2039</v>
      </c>
      <c r="C82" s="19" t="s">
        <v>28</v>
      </c>
    </row>
    <row r="83" spans="1:3" ht="23">
      <c r="A83" t="s">
        <v>1893</v>
      </c>
      <c r="B83" s="18" t="s">
        <v>2040</v>
      </c>
      <c r="C83" s="19" t="s">
        <v>28</v>
      </c>
    </row>
    <row r="84" spans="1:3" ht="23">
      <c r="A84" t="s">
        <v>1894</v>
      </c>
      <c r="B84" s="18" t="s">
        <v>2041</v>
      </c>
      <c r="C84" s="19" t="s">
        <v>29</v>
      </c>
    </row>
    <row r="85" spans="1:3" ht="23">
      <c r="A85" t="s">
        <v>1895</v>
      </c>
      <c r="B85" s="18" t="s">
        <v>2042</v>
      </c>
      <c r="C85" s="19" t="s">
        <v>28</v>
      </c>
    </row>
    <row r="86" spans="1:3" ht="23">
      <c r="A86" t="s">
        <v>1896</v>
      </c>
      <c r="B86" s="18" t="s">
        <v>2043</v>
      </c>
      <c r="C86" s="19" t="s">
        <v>28</v>
      </c>
    </row>
    <row r="87" spans="1:3" ht="23">
      <c r="A87" t="s">
        <v>1897</v>
      </c>
      <c r="B87" s="18" t="s">
        <v>2044</v>
      </c>
      <c r="C87" s="19" t="s">
        <v>28</v>
      </c>
    </row>
    <row r="88" spans="1:3" ht="23">
      <c r="A88" t="s">
        <v>1898</v>
      </c>
      <c r="B88" s="18" t="s">
        <v>2045</v>
      </c>
      <c r="C88" s="19" t="s">
        <v>28</v>
      </c>
    </row>
    <row r="89" spans="1:3" ht="23">
      <c r="A89" t="s">
        <v>1899</v>
      </c>
      <c r="B89" s="18" t="s">
        <v>2046</v>
      </c>
      <c r="C89" s="19" t="s">
        <v>28</v>
      </c>
    </row>
    <row r="90" spans="1:3" ht="23">
      <c r="A90" t="s">
        <v>1900</v>
      </c>
      <c r="B90" s="18" t="s">
        <v>1073</v>
      </c>
      <c r="C90" s="19" t="s">
        <v>28</v>
      </c>
    </row>
    <row r="91" spans="1:3" ht="23">
      <c r="A91" t="s">
        <v>26</v>
      </c>
      <c r="B91" s="18" t="s">
        <v>1074</v>
      </c>
      <c r="C91" s="19" t="s">
        <v>28</v>
      </c>
    </row>
    <row r="92" spans="1:3" ht="23">
      <c r="A92" t="s">
        <v>1901</v>
      </c>
      <c r="B92" s="18" t="s">
        <v>1814</v>
      </c>
      <c r="C92" s="19" t="s">
        <v>28</v>
      </c>
    </row>
    <row r="93" spans="1:3" ht="23">
      <c r="A93" t="s">
        <v>1101</v>
      </c>
      <c r="B93" s="18" t="s">
        <v>2047</v>
      </c>
      <c r="C93" s="19" t="s">
        <v>28</v>
      </c>
    </row>
    <row r="94" spans="1:3" ht="23">
      <c r="A94" t="s">
        <v>1902</v>
      </c>
      <c r="B94" s="18" t="s">
        <v>1903</v>
      </c>
      <c r="C94" s="19" t="s">
        <v>28</v>
      </c>
    </row>
    <row r="95" spans="1:3" ht="23">
      <c r="A95" t="s">
        <v>1904</v>
      </c>
      <c r="B95" s="18" t="s">
        <v>2048</v>
      </c>
      <c r="C95" s="19" t="s">
        <v>704</v>
      </c>
    </row>
    <row r="96" spans="1:3" ht="23">
      <c r="A96" s="19" t="s">
        <v>1905</v>
      </c>
      <c r="B96" s="18" t="s">
        <v>2049</v>
      </c>
      <c r="C96" s="19" t="s">
        <v>28</v>
      </c>
    </row>
    <row r="97" spans="1:3" ht="23">
      <c r="A97" t="s">
        <v>1906</v>
      </c>
      <c r="B97" s="18" t="s">
        <v>2050</v>
      </c>
      <c r="C97" s="19" t="s">
        <v>28</v>
      </c>
    </row>
    <row r="98" spans="1:3" ht="23">
      <c r="A98" t="s">
        <v>1907</v>
      </c>
      <c r="B98" s="18" t="s">
        <v>2051</v>
      </c>
      <c r="C98" s="19" t="s">
        <v>28</v>
      </c>
    </row>
    <row r="99" spans="1:3" ht="23">
      <c r="A99" t="s">
        <v>1908</v>
      </c>
      <c r="B99" s="18" t="s">
        <v>2052</v>
      </c>
      <c r="C99" s="19" t="s">
        <v>28</v>
      </c>
    </row>
    <row r="100" spans="1:3" ht="23">
      <c r="A100" t="s">
        <v>1909</v>
      </c>
      <c r="B100" s="18" t="s">
        <v>2053</v>
      </c>
      <c r="C100" s="19" t="s">
        <v>28</v>
      </c>
    </row>
    <row r="101" spans="1:3" ht="23">
      <c r="A101" t="s">
        <v>1910</v>
      </c>
      <c r="B101" s="18" t="s">
        <v>2054</v>
      </c>
      <c r="C101" s="19" t="s">
        <v>28</v>
      </c>
    </row>
    <row r="102" spans="1:3" ht="23">
      <c r="A102" s="19" t="s">
        <v>2</v>
      </c>
      <c r="B102" s="18" t="s">
        <v>2056</v>
      </c>
      <c r="C102" s="19" t="s">
        <v>28</v>
      </c>
    </row>
    <row r="103" spans="1:3" ht="23">
      <c r="A103" s="19" t="s">
        <v>1912</v>
      </c>
      <c r="B103" s="18" t="s">
        <v>2061</v>
      </c>
      <c r="C103" s="19" t="s">
        <v>28</v>
      </c>
    </row>
    <row r="104" spans="1:3" ht="23">
      <c r="A104" t="s">
        <v>1913</v>
      </c>
      <c r="B104" s="18" t="s">
        <v>2057</v>
      </c>
      <c r="C104" s="19" t="s">
        <v>28</v>
      </c>
    </row>
    <row r="105" spans="1:3" ht="23">
      <c r="A105" t="s">
        <v>1914</v>
      </c>
      <c r="B105" s="18" t="s">
        <v>2060</v>
      </c>
      <c r="C105" s="19" t="s">
        <v>28</v>
      </c>
    </row>
    <row r="106" spans="1:3" ht="23">
      <c r="A106" t="s">
        <v>1915</v>
      </c>
      <c r="B106" s="18" t="s">
        <v>2059</v>
      </c>
      <c r="C106" s="19" t="s">
        <v>28</v>
      </c>
    </row>
    <row r="107" spans="1:3" ht="23">
      <c r="A107" t="s">
        <v>1916</v>
      </c>
      <c r="B107" s="18" t="s">
        <v>2058</v>
      </c>
      <c r="C107" s="19" t="s">
        <v>28</v>
      </c>
    </row>
    <row r="108" spans="1:3" ht="23">
      <c r="A108" t="s">
        <v>1917</v>
      </c>
      <c r="B108" s="18" t="s">
        <v>2062</v>
      </c>
      <c r="C108" s="19" t="s">
        <v>28</v>
      </c>
    </row>
    <row r="109" spans="1:3" ht="23">
      <c r="A109" t="s">
        <v>1918</v>
      </c>
      <c r="B109" s="18" t="s">
        <v>2063</v>
      </c>
      <c r="C109" s="19" t="s">
        <v>28</v>
      </c>
    </row>
    <row r="110" spans="1:3" ht="23">
      <c r="A110" t="s">
        <v>1919</v>
      </c>
      <c r="B110" s="18" t="s">
        <v>2064</v>
      </c>
      <c r="C110" s="19" t="s">
        <v>28</v>
      </c>
    </row>
    <row r="111" spans="1:3" ht="23">
      <c r="A111" s="19" t="s">
        <v>1920</v>
      </c>
      <c r="B111" s="18" t="s">
        <v>2065</v>
      </c>
      <c r="C111" s="19" t="s">
        <v>29</v>
      </c>
    </row>
    <row r="112" spans="1:3" ht="23">
      <c r="A112" t="s">
        <v>1921</v>
      </c>
      <c r="B112" s="18" t="s">
        <v>2066</v>
      </c>
      <c r="C112" s="19" t="s">
        <v>28</v>
      </c>
    </row>
    <row r="113" spans="1:3" ht="23">
      <c r="A113" t="s">
        <v>1922</v>
      </c>
      <c r="B113" s="18" t="s">
        <v>2067</v>
      </c>
      <c r="C113" s="19" t="s">
        <v>28</v>
      </c>
    </row>
    <row r="114" spans="1:3" ht="23">
      <c r="A114" t="s">
        <v>58</v>
      </c>
      <c r="B114" s="18" t="s">
        <v>1925</v>
      </c>
      <c r="C114" s="19" t="s">
        <v>28</v>
      </c>
    </row>
    <row r="115" spans="1:3" ht="23">
      <c r="A115" t="s">
        <v>1926</v>
      </c>
      <c r="B115" s="18" t="s">
        <v>2068</v>
      </c>
      <c r="C115" s="19" t="s">
        <v>28</v>
      </c>
    </row>
    <row r="116" spans="1:3" ht="23">
      <c r="A116" t="s">
        <v>1927</v>
      </c>
      <c r="B116" s="18" t="s">
        <v>2069</v>
      </c>
      <c r="C116" s="19" t="s">
        <v>28</v>
      </c>
    </row>
    <row r="117" spans="1:3" ht="23">
      <c r="A117" t="s">
        <v>1928</v>
      </c>
      <c r="B117" s="18" t="s">
        <v>2070</v>
      </c>
      <c r="C117" s="19" t="s">
        <v>28</v>
      </c>
    </row>
    <row r="118" spans="1:3" ht="23">
      <c r="A118" t="s">
        <v>1929</v>
      </c>
      <c r="B118" s="18" t="s">
        <v>2071</v>
      </c>
      <c r="C118" s="19" t="s">
        <v>28</v>
      </c>
    </row>
    <row r="119" spans="1:3" ht="23">
      <c r="A119" t="s">
        <v>1930</v>
      </c>
      <c r="B119" s="18" t="s">
        <v>2072</v>
      </c>
      <c r="C119" s="19" t="s">
        <v>28</v>
      </c>
    </row>
    <row r="120" spans="1:3" ht="23">
      <c r="A120" t="s">
        <v>1931</v>
      </c>
      <c r="B120" s="18" t="s">
        <v>2073</v>
      </c>
      <c r="C120" s="19" t="s">
        <v>28</v>
      </c>
    </row>
    <row r="121" spans="1:3" ht="23">
      <c r="A121" t="s">
        <v>1932</v>
      </c>
      <c r="B121" s="18" t="s">
        <v>2074</v>
      </c>
      <c r="C121" s="19" t="s">
        <v>28</v>
      </c>
    </row>
    <row r="122" spans="1:3" ht="23">
      <c r="A122" t="s">
        <v>24</v>
      </c>
      <c r="B122" s="18" t="s">
        <v>2075</v>
      </c>
      <c r="C122" s="19" t="s">
        <v>29</v>
      </c>
    </row>
    <row r="123" spans="1:3" ht="23">
      <c r="A123" t="s">
        <v>1933</v>
      </c>
      <c r="B123" s="18" t="s">
        <v>1934</v>
      </c>
      <c r="C123" s="19" t="s">
        <v>29</v>
      </c>
    </row>
    <row r="124" spans="1:3" ht="23">
      <c r="A124" t="s">
        <v>1935</v>
      </c>
      <c r="B124" s="18" t="s">
        <v>1936</v>
      </c>
      <c r="C124" s="19" t="s">
        <v>28</v>
      </c>
    </row>
    <row r="125" spans="1:3" ht="23">
      <c r="A125" t="s">
        <v>1937</v>
      </c>
      <c r="B125" s="18" t="s">
        <v>1938</v>
      </c>
      <c r="C125" s="19" t="s">
        <v>28</v>
      </c>
    </row>
    <row r="126" spans="1:3" ht="23">
      <c r="A126" t="s">
        <v>1939</v>
      </c>
      <c r="B126" s="18" t="s">
        <v>1940</v>
      </c>
      <c r="C126" s="19" t="s">
        <v>29</v>
      </c>
    </row>
    <row r="127" spans="1:3" ht="23">
      <c r="A127" t="s">
        <v>1941</v>
      </c>
      <c r="B127" s="18" t="s">
        <v>1942</v>
      </c>
      <c r="C127" s="19" t="s">
        <v>28</v>
      </c>
    </row>
    <row r="128" spans="1:3" ht="23">
      <c r="A128" t="s">
        <v>1943</v>
      </c>
      <c r="B128" s="18" t="s">
        <v>1944</v>
      </c>
      <c r="C128" s="19" t="s">
        <v>28</v>
      </c>
    </row>
    <row r="129" spans="1:3" ht="23">
      <c r="A129" t="s">
        <v>1945</v>
      </c>
      <c r="B129" s="18" t="s">
        <v>1946</v>
      </c>
      <c r="C129" s="19" t="s">
        <v>29</v>
      </c>
    </row>
    <row r="130" spans="1:3" ht="23">
      <c r="A130" t="s">
        <v>1947</v>
      </c>
      <c r="B130" s="18" t="s">
        <v>1948</v>
      </c>
      <c r="C130" s="19" t="s">
        <v>29</v>
      </c>
    </row>
    <row r="131" spans="1:3" ht="23">
      <c r="A131" t="s">
        <v>1949</v>
      </c>
      <c r="B131" s="18" t="s">
        <v>1950</v>
      </c>
      <c r="C131" s="19" t="s">
        <v>28</v>
      </c>
    </row>
    <row r="132" spans="1:3" ht="23">
      <c r="A132" t="s">
        <v>1951</v>
      </c>
      <c r="B132" s="18" t="s">
        <v>1952</v>
      </c>
      <c r="C132" s="19" t="s">
        <v>28</v>
      </c>
    </row>
    <row r="133" spans="1:3" ht="23">
      <c r="A133" t="s">
        <v>1953</v>
      </c>
      <c r="B133" s="18" t="s">
        <v>1954</v>
      </c>
      <c r="C133" s="19" t="s">
        <v>28</v>
      </c>
    </row>
    <row r="134" spans="1:3" ht="23">
      <c r="A134" t="s">
        <v>1955</v>
      </c>
      <c r="B134" s="18" t="s">
        <v>1956</v>
      </c>
      <c r="C134" s="19" t="s">
        <v>29</v>
      </c>
    </row>
    <row r="135" spans="1:3" ht="23">
      <c r="A135" s="19" t="s">
        <v>1958</v>
      </c>
      <c r="B135" s="18" t="s">
        <v>1957</v>
      </c>
      <c r="C135" s="19" t="s">
        <v>28</v>
      </c>
    </row>
    <row r="136" spans="1:3" ht="23">
      <c r="A136" s="19" t="s">
        <v>1960</v>
      </c>
      <c r="B136" s="18" t="s">
        <v>1959</v>
      </c>
      <c r="C136" s="19" t="s">
        <v>29</v>
      </c>
    </row>
    <row r="137" spans="1:3" ht="23">
      <c r="A137" t="s">
        <v>1961</v>
      </c>
      <c r="B137" s="18" t="s">
        <v>1962</v>
      </c>
      <c r="C137" s="19" t="s">
        <v>704</v>
      </c>
    </row>
    <row r="138" spans="1:3" ht="23">
      <c r="A138" s="19" t="s">
        <v>1964</v>
      </c>
      <c r="B138" s="18" t="s">
        <v>1963</v>
      </c>
      <c r="C138" s="19" t="s">
        <v>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1982-AD1F-7743-AE43-4E126CB2B36C}">
  <dimension ref="A1:C29"/>
  <sheetViews>
    <sheetView workbookViewId="0">
      <selection activeCell="A4" sqref="A4:XFD6"/>
    </sheetView>
  </sheetViews>
  <sheetFormatPr baseColWidth="10" defaultRowHeight="15"/>
  <cols>
    <col min="1" max="1" width="17" customWidth="1"/>
    <col min="2" max="2" width="21.33203125" customWidth="1"/>
  </cols>
  <sheetData>
    <row r="1" spans="1:3" ht="20">
      <c r="A1" s="57" t="s">
        <v>0</v>
      </c>
      <c r="B1" s="57" t="s">
        <v>839</v>
      </c>
      <c r="C1" s="58" t="s">
        <v>726</v>
      </c>
    </row>
    <row r="2" spans="1:3" ht="20">
      <c r="A2" s="59" t="s">
        <v>60</v>
      </c>
      <c r="B2" s="59" t="s">
        <v>1040</v>
      </c>
      <c r="C2" s="58" t="s">
        <v>28</v>
      </c>
    </row>
    <row r="3" spans="1:3" ht="20">
      <c r="A3" s="64" t="s">
        <v>752</v>
      </c>
      <c r="B3" s="64" t="s">
        <v>753</v>
      </c>
      <c r="C3" s="64" t="s">
        <v>29</v>
      </c>
    </row>
    <row r="4" spans="1:3" s="42" customFormat="1" ht="21">
      <c r="A4" s="60" t="s">
        <v>1091</v>
      </c>
      <c r="B4" s="71" t="s">
        <v>1148</v>
      </c>
      <c r="C4" s="58" t="s">
        <v>28</v>
      </c>
    </row>
    <row r="5" spans="1:3" s="42" customFormat="1" ht="21">
      <c r="A5" s="62" t="s">
        <v>798</v>
      </c>
      <c r="B5" s="72" t="s">
        <v>799</v>
      </c>
      <c r="C5" s="58" t="s">
        <v>29</v>
      </c>
    </row>
    <row r="6" spans="1:3" s="42" customFormat="1" ht="21">
      <c r="A6" s="59" t="s">
        <v>800</v>
      </c>
      <c r="B6" s="71" t="s">
        <v>801</v>
      </c>
      <c r="C6" s="58" t="s">
        <v>29</v>
      </c>
    </row>
    <row r="7" spans="1:3" ht="17">
      <c r="A7" s="32" t="s">
        <v>1068</v>
      </c>
      <c r="B7" s="85" t="s">
        <v>1741</v>
      </c>
      <c r="C7" s="19" t="s">
        <v>29</v>
      </c>
    </row>
    <row r="8" spans="1:3" ht="17">
      <c r="A8" s="32" t="s">
        <v>1070</v>
      </c>
      <c r="B8" s="85" t="s">
        <v>1765</v>
      </c>
      <c r="C8" s="19" t="s">
        <v>29</v>
      </c>
    </row>
    <row r="9" spans="1:3" ht="17">
      <c r="A9" s="32" t="s">
        <v>1766</v>
      </c>
      <c r="B9" s="85" t="s">
        <v>1767</v>
      </c>
      <c r="C9" s="19" t="s">
        <v>29</v>
      </c>
    </row>
    <row r="10" spans="1:3" ht="17">
      <c r="A10" s="32" t="s">
        <v>1768</v>
      </c>
      <c r="B10" s="85" t="s">
        <v>1769</v>
      </c>
      <c r="C10" s="19" t="s">
        <v>29</v>
      </c>
    </row>
    <row r="11" spans="1:3" ht="17">
      <c r="A11" s="32" t="s">
        <v>1770</v>
      </c>
      <c r="B11" s="85" t="s">
        <v>1771</v>
      </c>
      <c r="C11" s="19" t="s">
        <v>29</v>
      </c>
    </row>
    <row r="12" spans="1:3" ht="17">
      <c r="A12" s="32" t="s">
        <v>1772</v>
      </c>
      <c r="B12" s="85" t="s">
        <v>1773</v>
      </c>
      <c r="C12" s="19" t="s">
        <v>29</v>
      </c>
    </row>
    <row r="13" spans="1:3" ht="17">
      <c r="A13" s="32" t="s">
        <v>1774</v>
      </c>
      <c r="B13" s="85" t="s">
        <v>1775</v>
      </c>
      <c r="C13" s="19" t="s">
        <v>29</v>
      </c>
    </row>
    <row r="14" spans="1:3" ht="17">
      <c r="A14" s="32" t="s">
        <v>1776</v>
      </c>
      <c r="B14" s="85" t="s">
        <v>1777</v>
      </c>
      <c r="C14" s="19" t="s">
        <v>29</v>
      </c>
    </row>
    <row r="15" spans="1:3" ht="17">
      <c r="A15" s="32" t="s">
        <v>1778</v>
      </c>
      <c r="B15" s="85" t="s">
        <v>1779</v>
      </c>
      <c r="C15" s="19" t="s">
        <v>29</v>
      </c>
    </row>
    <row r="16" spans="1:3" ht="17">
      <c r="A16" s="32" t="s">
        <v>1780</v>
      </c>
      <c r="B16" s="85" t="s">
        <v>1781</v>
      </c>
      <c r="C16" s="19" t="s">
        <v>29</v>
      </c>
    </row>
    <row r="17" spans="1:3" ht="17">
      <c r="A17" s="32" t="s">
        <v>1782</v>
      </c>
      <c r="B17" s="85" t="s">
        <v>1783</v>
      </c>
      <c r="C17" s="19" t="s">
        <v>29</v>
      </c>
    </row>
    <row r="18" spans="1:3" ht="17">
      <c r="A18" s="32" t="s">
        <v>1784</v>
      </c>
      <c r="B18" s="85" t="s">
        <v>1785</v>
      </c>
      <c r="C18" s="19" t="s">
        <v>29</v>
      </c>
    </row>
    <row r="19" spans="1:3" ht="17">
      <c r="A19" s="32" t="s">
        <v>1786</v>
      </c>
      <c r="B19" s="85" t="s">
        <v>1787</v>
      </c>
      <c r="C19" s="19" t="s">
        <v>29</v>
      </c>
    </row>
    <row r="20" spans="1:3" ht="17">
      <c r="A20" s="32" t="s">
        <v>1788</v>
      </c>
      <c r="B20" s="85" t="s">
        <v>1789</v>
      </c>
      <c r="C20" s="19" t="s">
        <v>29</v>
      </c>
    </row>
    <row r="21" spans="1:3" ht="17">
      <c r="A21" s="32" t="s">
        <v>1790</v>
      </c>
      <c r="B21" s="85" t="s">
        <v>1791</v>
      </c>
      <c r="C21" s="19" t="s">
        <v>29</v>
      </c>
    </row>
    <row r="22" spans="1:3" ht="17">
      <c r="A22" s="32" t="s">
        <v>1792</v>
      </c>
      <c r="B22" s="85" t="s">
        <v>1793</v>
      </c>
      <c r="C22" s="19" t="s">
        <v>29</v>
      </c>
    </row>
    <row r="23" spans="1:3" ht="17">
      <c r="A23" s="32" t="s">
        <v>1794</v>
      </c>
      <c r="B23" s="85" t="s">
        <v>1795</v>
      </c>
      <c r="C23" s="19" t="s">
        <v>29</v>
      </c>
    </row>
    <row r="24" spans="1:3" ht="17">
      <c r="A24" s="32" t="s">
        <v>1796</v>
      </c>
      <c r="B24" s="85" t="s">
        <v>1797</v>
      </c>
      <c r="C24" s="19" t="s">
        <v>29</v>
      </c>
    </row>
    <row r="25" spans="1:3" ht="17">
      <c r="A25" s="32" t="s">
        <v>1798</v>
      </c>
      <c r="B25" s="85" t="s">
        <v>1799</v>
      </c>
      <c r="C25" s="19" t="s">
        <v>29</v>
      </c>
    </row>
    <row r="26" spans="1:3" ht="17">
      <c r="A26" s="32" t="s">
        <v>1800</v>
      </c>
      <c r="B26" s="85" t="s">
        <v>1801</v>
      </c>
      <c r="C26" s="19" t="s">
        <v>29</v>
      </c>
    </row>
    <row r="27" spans="1:3" ht="17">
      <c r="A27" s="32" t="s">
        <v>1802</v>
      </c>
      <c r="B27" s="85" t="s">
        <v>1803</v>
      </c>
      <c r="C27" s="19" t="s">
        <v>29</v>
      </c>
    </row>
    <row r="28" spans="1:3" ht="17">
      <c r="A28" s="32" t="s">
        <v>1804</v>
      </c>
      <c r="B28" s="85" t="s">
        <v>1805</v>
      </c>
      <c r="C28" s="19" t="s">
        <v>29</v>
      </c>
    </row>
    <row r="29" spans="1:3" ht="17">
      <c r="A29" s="32" t="s">
        <v>1806</v>
      </c>
      <c r="B29" s="85" t="s">
        <v>1807</v>
      </c>
      <c r="C29" s="19" t="s">
        <v>29</v>
      </c>
    </row>
  </sheetData>
  <hyperlinks>
    <hyperlink ref="A8" r:id="rId1" tooltip="Ethereum USD" display="https://finance.yahoo.com/quote/ETH-USD" xr:uid="{C5D68649-4C51-714F-9E8F-A0940E222C8F}"/>
    <hyperlink ref="A9" r:id="rId2" tooltip="Tether USDt USD" display="https://finance.yahoo.com/quote/USDT-USD" xr:uid="{1F0263A0-2328-B941-A2C3-52C964DCD956}"/>
    <hyperlink ref="A10" r:id="rId3" tooltip="BNB USD" display="https://finance.yahoo.com/quote/BNB-USD" xr:uid="{7D006F5C-4F02-F842-BFAE-81CE13DFDCEB}"/>
    <hyperlink ref="A11" r:id="rId4" tooltip="Solana USD" display="https://finance.yahoo.com/quote/SOL-USD" xr:uid="{644EB097-A2DF-1F4B-A49E-4EE49AB2EFB9}"/>
    <hyperlink ref="A12" r:id="rId5" tooltip="Lido Staked ETH USD" display="https://finance.yahoo.com/quote/STETH-USD" xr:uid="{89F0F9D4-7389-5C4F-8BF3-990953F9064F}"/>
    <hyperlink ref="A13" r:id="rId6" tooltip="XRP USD" display="https://finance.yahoo.com/quote/XRP-USD" xr:uid="{37606565-B316-494D-A5A5-AD02E5D8AC01}"/>
    <hyperlink ref="A14" r:id="rId7" tooltip="USD Coin USD" display="https://finance.yahoo.com/quote/USDC-USD" xr:uid="{2244857A-93D9-BE4B-BF1B-20C8A9079FB9}"/>
    <hyperlink ref="A15" r:id="rId8" tooltip="Dogecoin USD" display="https://finance.yahoo.com/quote/DOGE-USD" xr:uid="{82DAB3C6-0FC9-124F-BB76-955066864615}"/>
    <hyperlink ref="A16" r:id="rId9" tooltip="Toncoin USD" display="https://finance.yahoo.com/quote/TON11419-USD" xr:uid="{97441E43-0E2C-0E47-9E2E-E3D366A1B21E}"/>
    <hyperlink ref="A17" r:id="rId10" tooltip="Cardano USD" display="https://finance.yahoo.com/quote/ADA-USD" xr:uid="{36A6F681-2147-2F4D-8991-83EDBE1988FC}"/>
    <hyperlink ref="A18" r:id="rId11" tooltip="Avalanche USD" display="https://finance.yahoo.com/quote/AVAX-USD" xr:uid="{20B817B3-24FC-BC41-AD6E-760434D48E60}"/>
    <hyperlink ref="A19" r:id="rId12" tooltip="Shiba Inu USD" display="https://finance.yahoo.com/quote/SHIB-USD" xr:uid="{43850D59-9B0C-384D-B053-644430EA527B}"/>
    <hyperlink ref="A20" r:id="rId13" tooltip="Bitcoin Cash USD" display="https://finance.yahoo.com/quote/BCH-USD" xr:uid="{A0018792-8690-1142-8C4E-53BEB247F192}"/>
    <hyperlink ref="A21" r:id="rId14" tooltip="Polkadot USD" display="https://finance.yahoo.com/quote/DOT-USD" xr:uid="{D95BD268-7661-A348-A2E4-4EC2D625E716}"/>
    <hyperlink ref="A22" r:id="rId15" tooltip="Wrapped Bitcoin USD" display="https://finance.yahoo.com/quote/WBTC-USD" xr:uid="{5E74AD95-36FE-544C-8847-F527897EBF53}"/>
    <hyperlink ref="A23" r:id="rId16" tooltip="TRON USD" display="https://finance.yahoo.com/quote/TRX-USD" xr:uid="{6735A440-B57F-4E48-B59C-FA60ACD78963}"/>
    <hyperlink ref="A24" r:id="rId17" tooltip="Wrapped TRON USD" display="https://finance.yahoo.com/quote/WTRX-USD" xr:uid="{BF35184D-3F4C-0D48-B67F-6222E5368B29}"/>
    <hyperlink ref="A25" r:id="rId18" tooltip="Chainlink USD" display="https://finance.yahoo.com/quote/LINK-USD" xr:uid="{3295D24D-9753-714F-BD19-AB0E524C34C2}"/>
    <hyperlink ref="A26" r:id="rId19" tooltip="Polygon USD" display="https://finance.yahoo.com/quote/MATIC-USD" xr:uid="{EEE438C1-BAB5-C241-A285-25BA9818FFF8}"/>
    <hyperlink ref="A27" r:id="rId20" tooltip="NEAR Protocol USD" display="https://finance.yahoo.com/quote/NEAR-USD" xr:uid="{175DCDB6-9F47-064C-A483-46F8D8F5A80D}"/>
    <hyperlink ref="A28" r:id="rId21" tooltip="Internet Computer USD" display="https://finance.yahoo.com/quote/ICP-USD" xr:uid="{F69E20E5-054B-4D43-9A46-E45B869B3FAD}"/>
    <hyperlink ref="A29" r:id="rId22" tooltip="Litecoin USD" display="https://finance.yahoo.com/quote/LTC-USD" xr:uid="{4EB182D2-E15D-8544-843D-269E0D36B779}"/>
    <hyperlink ref="A7" r:id="rId23" tooltip="Bitcoin USD" display="https://finance.yahoo.com/quote/BTC-USD" xr:uid="{056A4CCD-CBC8-F840-8F59-D75AD743F7A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C6E4-4870-284C-8F26-F62E91AA511F}">
  <dimension ref="A2:L157"/>
  <sheetViews>
    <sheetView workbookViewId="0"/>
  </sheetViews>
  <sheetFormatPr baseColWidth="10" defaultRowHeight="15"/>
  <cols>
    <col min="2" max="2" width="45.5" customWidth="1"/>
  </cols>
  <sheetData>
    <row r="2" spans="1:12" ht="18">
      <c r="A2" s="27" t="s">
        <v>1324</v>
      </c>
      <c r="B2" s="27" t="s">
        <v>77</v>
      </c>
      <c r="C2" s="27" t="s">
        <v>78</v>
      </c>
      <c r="D2" s="27" t="s">
        <v>79</v>
      </c>
      <c r="E2" s="27" t="s">
        <v>80</v>
      </c>
      <c r="F2" s="29">
        <v>4.8599999999999997E-2</v>
      </c>
      <c r="G2" s="30">
        <v>446035078.82999998</v>
      </c>
      <c r="H2" s="31">
        <v>2639417</v>
      </c>
      <c r="I2" s="27" t="s">
        <v>81</v>
      </c>
      <c r="J2" s="27" t="s">
        <v>29</v>
      </c>
      <c r="K2" s="28">
        <f>F2</f>
        <v>4.8599999999999997E-2</v>
      </c>
      <c r="L2">
        <v>1</v>
      </c>
    </row>
    <row r="3" spans="1:12" ht="18">
      <c r="A3" s="27" t="s">
        <v>82</v>
      </c>
      <c r="B3" s="27" t="s">
        <v>83</v>
      </c>
      <c r="C3" s="27" t="s">
        <v>84</v>
      </c>
      <c r="D3" s="27" t="s">
        <v>79</v>
      </c>
      <c r="E3" s="27" t="s">
        <v>85</v>
      </c>
      <c r="F3" s="29">
        <v>4.6699999999999998E-2</v>
      </c>
      <c r="G3" s="30">
        <v>428582759.11000001</v>
      </c>
      <c r="H3" s="31">
        <v>1293991</v>
      </c>
      <c r="I3" s="27" t="s">
        <v>86</v>
      </c>
      <c r="J3" s="27" t="s">
        <v>29</v>
      </c>
      <c r="K3" s="28">
        <f>F3+K2</f>
        <v>9.5299999999999996E-2</v>
      </c>
      <c r="L3">
        <v>2</v>
      </c>
    </row>
    <row r="4" spans="1:12" ht="18">
      <c r="A4" s="27" t="s">
        <v>87</v>
      </c>
      <c r="B4" s="27" t="s">
        <v>88</v>
      </c>
      <c r="C4" s="27" t="s">
        <v>78</v>
      </c>
      <c r="D4" s="27" t="s">
        <v>79</v>
      </c>
      <c r="E4" s="27" t="s">
        <v>89</v>
      </c>
      <c r="F4" s="29">
        <v>4.3999999999999997E-2</v>
      </c>
      <c r="G4" s="30">
        <v>403360918.39999998</v>
      </c>
      <c r="H4" s="31">
        <v>1686080</v>
      </c>
      <c r="I4" s="27" t="s">
        <v>90</v>
      </c>
      <c r="J4" s="27" t="s">
        <v>29</v>
      </c>
      <c r="K4" s="28">
        <f t="shared" ref="K4:K24" si="0">F4+K3</f>
        <v>0.13929999999999998</v>
      </c>
      <c r="L4">
        <v>3</v>
      </c>
    </row>
    <row r="5" spans="1:12" ht="18">
      <c r="A5" s="27" t="s">
        <v>91</v>
      </c>
      <c r="B5" s="27" t="s">
        <v>92</v>
      </c>
      <c r="C5" s="27" t="s">
        <v>93</v>
      </c>
      <c r="D5" s="27" t="s">
        <v>79</v>
      </c>
      <c r="E5" s="27" t="s">
        <v>94</v>
      </c>
      <c r="F5" s="29">
        <v>3.4799999999999998E-2</v>
      </c>
      <c r="G5" s="30">
        <v>318991553.94999999</v>
      </c>
      <c r="H5" s="31">
        <v>5192765</v>
      </c>
      <c r="I5" s="27" t="s">
        <v>95</v>
      </c>
      <c r="J5" s="27" t="s">
        <v>29</v>
      </c>
      <c r="K5" s="28">
        <f t="shared" si="0"/>
        <v>0.17409999999999998</v>
      </c>
      <c r="L5">
        <v>4</v>
      </c>
    </row>
    <row r="6" spans="1:12" ht="18">
      <c r="A6" s="27" t="s">
        <v>96</v>
      </c>
      <c r="B6" s="27" t="s">
        <v>97</v>
      </c>
      <c r="C6" s="27" t="s">
        <v>93</v>
      </c>
      <c r="D6" s="27" t="s">
        <v>79</v>
      </c>
      <c r="E6" s="27" t="s">
        <v>98</v>
      </c>
      <c r="F6" s="29">
        <v>3.3300000000000003E-2</v>
      </c>
      <c r="G6" s="30">
        <v>305715117.24000001</v>
      </c>
      <c r="H6" s="31">
        <v>1744551</v>
      </c>
      <c r="I6" s="27" t="s">
        <v>99</v>
      </c>
      <c r="J6" s="27" t="s">
        <v>29</v>
      </c>
      <c r="K6" s="28">
        <f t="shared" si="0"/>
        <v>0.20739999999999997</v>
      </c>
      <c r="L6">
        <v>5</v>
      </c>
    </row>
    <row r="7" spans="1:12" ht="18">
      <c r="A7" s="27" t="s">
        <v>100</v>
      </c>
      <c r="B7" s="27" t="s">
        <v>101</v>
      </c>
      <c r="C7" s="27" t="s">
        <v>84</v>
      </c>
      <c r="D7" s="27" t="s">
        <v>79</v>
      </c>
      <c r="E7" s="27" t="s">
        <v>102</v>
      </c>
      <c r="F7" s="29">
        <v>3.0099999999999998E-2</v>
      </c>
      <c r="G7" s="30">
        <v>276467450.39999998</v>
      </c>
      <c r="H7" s="31">
        <v>2258721</v>
      </c>
      <c r="I7" s="27" t="s">
        <v>103</v>
      </c>
      <c r="J7" s="27" t="s">
        <v>29</v>
      </c>
      <c r="K7" s="28">
        <f t="shared" si="0"/>
        <v>0.23749999999999996</v>
      </c>
      <c r="L7">
        <v>6</v>
      </c>
    </row>
    <row r="8" spans="1:12" ht="18">
      <c r="A8" s="27" t="s">
        <v>104</v>
      </c>
      <c r="B8" s="27" t="s">
        <v>105</v>
      </c>
      <c r="C8" s="27" t="s">
        <v>106</v>
      </c>
      <c r="D8" s="27" t="s">
        <v>79</v>
      </c>
      <c r="E8" s="27" t="s">
        <v>107</v>
      </c>
      <c r="F8" s="29">
        <v>2.5000000000000001E-2</v>
      </c>
      <c r="G8" s="30">
        <v>229353075</v>
      </c>
      <c r="H8" s="31">
        <v>2307375</v>
      </c>
      <c r="I8" s="27" t="s">
        <v>108</v>
      </c>
      <c r="J8" s="27" t="s">
        <v>29</v>
      </c>
      <c r="K8" s="28">
        <f t="shared" si="0"/>
        <v>0.26249999999999996</v>
      </c>
      <c r="L8">
        <v>7</v>
      </c>
    </row>
    <row r="9" spans="1:12" ht="18">
      <c r="A9" s="27" t="s">
        <v>109</v>
      </c>
      <c r="B9" s="27" t="s">
        <v>110</v>
      </c>
      <c r="C9" s="27" t="s">
        <v>78</v>
      </c>
      <c r="D9" s="27" t="s">
        <v>79</v>
      </c>
      <c r="E9" s="27" t="s">
        <v>111</v>
      </c>
      <c r="F9" s="29">
        <v>2.2599999999999999E-2</v>
      </c>
      <c r="G9" s="30">
        <v>207058539.87</v>
      </c>
      <c r="H9" s="31">
        <v>1156687</v>
      </c>
      <c r="I9" s="27" t="s">
        <v>112</v>
      </c>
      <c r="J9" s="27" t="s">
        <v>29</v>
      </c>
      <c r="K9" s="28">
        <f t="shared" si="0"/>
        <v>0.28509999999999996</v>
      </c>
      <c r="L9">
        <v>8</v>
      </c>
    </row>
    <row r="10" spans="1:12" ht="18">
      <c r="A10" s="27" t="s">
        <v>113</v>
      </c>
      <c r="B10" s="27" t="s">
        <v>114</v>
      </c>
      <c r="C10" s="27" t="s">
        <v>78</v>
      </c>
      <c r="D10" s="27" t="s">
        <v>79</v>
      </c>
      <c r="E10" s="27" t="s">
        <v>115</v>
      </c>
      <c r="F10" s="29">
        <v>2.2200000000000001E-2</v>
      </c>
      <c r="G10" s="30">
        <v>204016222.08000001</v>
      </c>
      <c r="H10" s="31">
        <v>592416</v>
      </c>
      <c r="I10" s="27" t="s">
        <v>116</v>
      </c>
      <c r="J10" s="27" t="s">
        <v>29</v>
      </c>
      <c r="K10" s="28">
        <f t="shared" si="0"/>
        <v>0.30729999999999996</v>
      </c>
      <c r="L10">
        <v>9</v>
      </c>
    </row>
    <row r="11" spans="1:12" ht="18">
      <c r="A11" s="27" t="s">
        <v>117</v>
      </c>
      <c r="B11" s="27" t="s">
        <v>118</v>
      </c>
      <c r="C11" s="27" t="s">
        <v>119</v>
      </c>
      <c r="D11" s="27" t="s">
        <v>79</v>
      </c>
      <c r="E11" s="27" t="s">
        <v>120</v>
      </c>
      <c r="F11" s="29">
        <v>2.01E-2</v>
      </c>
      <c r="G11" s="30">
        <v>184059032.80000001</v>
      </c>
      <c r="H11" s="31">
        <v>677360</v>
      </c>
      <c r="I11" s="27" t="s">
        <v>121</v>
      </c>
      <c r="J11" s="27" t="s">
        <v>29</v>
      </c>
      <c r="K11" s="28">
        <f t="shared" si="0"/>
        <v>0.32739999999999997</v>
      </c>
      <c r="L11">
        <v>10</v>
      </c>
    </row>
    <row r="12" spans="1:12" ht="18">
      <c r="A12" s="27" t="s">
        <v>122</v>
      </c>
      <c r="B12" s="27" t="s">
        <v>123</v>
      </c>
      <c r="C12" s="27" t="s">
        <v>124</v>
      </c>
      <c r="D12" s="27" t="s">
        <v>79</v>
      </c>
      <c r="E12" s="27" t="s">
        <v>125</v>
      </c>
      <c r="F12" s="29">
        <v>1.8800000000000001E-2</v>
      </c>
      <c r="G12" s="30">
        <v>172889321.66</v>
      </c>
      <c r="H12" s="31">
        <v>668921</v>
      </c>
      <c r="I12" s="27" t="s">
        <v>126</v>
      </c>
      <c r="J12" s="27" t="s">
        <v>29</v>
      </c>
      <c r="K12" s="28">
        <f t="shared" si="0"/>
        <v>0.34619999999999995</v>
      </c>
      <c r="L12">
        <v>11</v>
      </c>
    </row>
    <row r="13" spans="1:12" ht="18">
      <c r="A13" s="27" t="s">
        <v>127</v>
      </c>
      <c r="B13" s="27" t="s">
        <v>128</v>
      </c>
      <c r="C13" s="27" t="s">
        <v>84</v>
      </c>
      <c r="D13" s="27" t="s">
        <v>79</v>
      </c>
      <c r="E13" s="27" t="s">
        <v>129</v>
      </c>
      <c r="F13" s="29">
        <v>1.8200000000000001E-2</v>
      </c>
      <c r="G13" s="30">
        <v>166861718.40000001</v>
      </c>
      <c r="H13" s="31">
        <v>786490</v>
      </c>
      <c r="I13" s="27" t="s">
        <v>130</v>
      </c>
      <c r="J13" s="27" t="s">
        <v>29</v>
      </c>
      <c r="K13" s="28">
        <f t="shared" si="0"/>
        <v>0.36439999999999995</v>
      </c>
      <c r="L13">
        <v>12</v>
      </c>
    </row>
    <row r="14" spans="1:12" ht="18">
      <c r="A14" s="27" t="s">
        <v>131</v>
      </c>
      <c r="B14" s="27" t="s">
        <v>132</v>
      </c>
      <c r="C14" s="27" t="s">
        <v>133</v>
      </c>
      <c r="D14" s="27" t="s">
        <v>79</v>
      </c>
      <c r="E14" s="27" t="s">
        <v>134</v>
      </c>
      <c r="F14" s="29">
        <v>1.72E-2</v>
      </c>
      <c r="G14" s="30">
        <v>157544865.52000001</v>
      </c>
      <c r="H14" s="31">
        <v>430004</v>
      </c>
      <c r="I14" s="27" t="s">
        <v>135</v>
      </c>
      <c r="J14" s="27" t="s">
        <v>29</v>
      </c>
      <c r="K14" s="28">
        <f t="shared" si="0"/>
        <v>0.38159999999999994</v>
      </c>
      <c r="L14">
        <v>13</v>
      </c>
    </row>
    <row r="15" spans="1:12" ht="18">
      <c r="A15" s="27" t="s">
        <v>136</v>
      </c>
      <c r="B15" s="27" t="s">
        <v>137</v>
      </c>
      <c r="C15" s="27" t="s">
        <v>119</v>
      </c>
      <c r="D15" s="27" t="s">
        <v>79</v>
      </c>
      <c r="E15" s="27" t="s">
        <v>138</v>
      </c>
      <c r="F15" s="29">
        <v>1.6E-2</v>
      </c>
      <c r="G15" s="30">
        <v>146498730</v>
      </c>
      <c r="H15" s="31">
        <v>303310</v>
      </c>
      <c r="I15" s="27" t="s">
        <v>139</v>
      </c>
      <c r="J15" s="27" t="s">
        <v>29</v>
      </c>
      <c r="K15" s="28">
        <f t="shared" si="0"/>
        <v>0.39759999999999995</v>
      </c>
      <c r="L15">
        <v>14</v>
      </c>
    </row>
    <row r="16" spans="1:12" ht="18">
      <c r="A16" s="27" t="s">
        <v>140</v>
      </c>
      <c r="B16" s="27" t="s">
        <v>141</v>
      </c>
      <c r="C16" s="27" t="s">
        <v>133</v>
      </c>
      <c r="D16" s="27" t="s">
        <v>79</v>
      </c>
      <c r="E16" s="27" t="s">
        <v>142</v>
      </c>
      <c r="F16" s="29">
        <v>1.5599999999999999E-2</v>
      </c>
      <c r="G16" s="30">
        <v>143007021.33000001</v>
      </c>
      <c r="H16" s="31">
        <v>189667</v>
      </c>
      <c r="I16" s="27" t="s">
        <v>143</v>
      </c>
      <c r="J16" s="27" t="s">
        <v>29</v>
      </c>
      <c r="K16" s="28">
        <f t="shared" si="0"/>
        <v>0.41319999999999996</v>
      </c>
      <c r="L16">
        <v>15</v>
      </c>
    </row>
    <row r="17" spans="1:12" ht="18">
      <c r="A17" s="27" t="s">
        <v>144</v>
      </c>
      <c r="B17" s="27" t="s">
        <v>145</v>
      </c>
      <c r="C17" s="27" t="s">
        <v>146</v>
      </c>
      <c r="D17" s="27" t="s">
        <v>79</v>
      </c>
      <c r="E17" s="27" t="s">
        <v>147</v>
      </c>
      <c r="F17" s="29">
        <v>1.49E-2</v>
      </c>
      <c r="G17" s="30">
        <v>136862247.50999999</v>
      </c>
      <c r="H17" s="31">
        <v>587871</v>
      </c>
      <c r="I17" s="27" t="s">
        <v>148</v>
      </c>
      <c r="J17" s="27" t="s">
        <v>29</v>
      </c>
      <c r="K17" s="28">
        <f t="shared" si="0"/>
        <v>0.42809999999999998</v>
      </c>
      <c r="L17">
        <v>16</v>
      </c>
    </row>
    <row r="18" spans="1:12" ht="18">
      <c r="A18" s="27" t="s">
        <v>149</v>
      </c>
      <c r="B18" s="27" t="s">
        <v>150</v>
      </c>
      <c r="C18" s="27" t="s">
        <v>119</v>
      </c>
      <c r="D18" s="27" t="s">
        <v>79</v>
      </c>
      <c r="E18" s="27" t="s">
        <v>151</v>
      </c>
      <c r="F18" s="29">
        <v>1.49E-2</v>
      </c>
      <c r="G18" s="30">
        <v>136459988.06</v>
      </c>
      <c r="H18" s="31">
        <v>1581778</v>
      </c>
      <c r="I18" s="27" t="s">
        <v>152</v>
      </c>
      <c r="J18" s="27" t="s">
        <v>29</v>
      </c>
      <c r="K18" s="28">
        <f t="shared" si="0"/>
        <v>0.443</v>
      </c>
      <c r="L18">
        <v>17</v>
      </c>
    </row>
    <row r="19" spans="1:12" ht="18">
      <c r="A19" s="27" t="s">
        <v>153</v>
      </c>
      <c r="B19" s="27" t="s">
        <v>154</v>
      </c>
      <c r="C19" s="27" t="s">
        <v>78</v>
      </c>
      <c r="D19" s="27" t="s">
        <v>79</v>
      </c>
      <c r="E19" s="27" t="s">
        <v>155</v>
      </c>
      <c r="F19" s="29">
        <v>1.4E-2</v>
      </c>
      <c r="G19" s="30">
        <v>128706532.31999999</v>
      </c>
      <c r="H19" s="31">
        <v>524562</v>
      </c>
      <c r="I19" s="27" t="s">
        <v>156</v>
      </c>
      <c r="J19" s="27" t="s">
        <v>29</v>
      </c>
      <c r="K19" s="28">
        <f t="shared" si="0"/>
        <v>0.45700000000000002</v>
      </c>
      <c r="L19">
        <v>18</v>
      </c>
    </row>
    <row r="20" spans="1:12" ht="18">
      <c r="A20" s="27" t="s">
        <v>157</v>
      </c>
      <c r="B20" s="27" t="s">
        <v>158</v>
      </c>
      <c r="C20" s="27" t="s">
        <v>133</v>
      </c>
      <c r="D20" s="27" t="s">
        <v>79</v>
      </c>
      <c r="E20" s="27" t="s">
        <v>159</v>
      </c>
      <c r="F20" s="29">
        <v>1.37E-2</v>
      </c>
      <c r="G20" s="30">
        <v>125348327.28</v>
      </c>
      <c r="H20" s="31">
        <v>804753</v>
      </c>
      <c r="I20" s="27" t="s">
        <v>160</v>
      </c>
      <c r="J20" s="27" t="s">
        <v>29</v>
      </c>
      <c r="K20" s="28">
        <f t="shared" si="0"/>
        <v>0.47070000000000001</v>
      </c>
      <c r="L20">
        <v>19</v>
      </c>
    </row>
    <row r="21" spans="1:12" ht="18">
      <c r="A21" s="27" t="s">
        <v>161</v>
      </c>
      <c r="B21" s="27" t="s">
        <v>162</v>
      </c>
      <c r="C21" s="27" t="s">
        <v>119</v>
      </c>
      <c r="D21" s="27" t="s">
        <v>79</v>
      </c>
      <c r="E21" s="27" t="s">
        <v>163</v>
      </c>
      <c r="F21" s="29">
        <v>1.3100000000000001E-2</v>
      </c>
      <c r="G21" s="30">
        <v>120624904.79000001</v>
      </c>
      <c r="H21" s="31">
        <v>383899</v>
      </c>
      <c r="I21" s="27" t="s">
        <v>164</v>
      </c>
      <c r="J21" s="27" t="s">
        <v>29</v>
      </c>
      <c r="K21" s="28">
        <f t="shared" si="0"/>
        <v>0.48380000000000001</v>
      </c>
      <c r="L21">
        <v>20</v>
      </c>
    </row>
    <row r="22" spans="1:12" ht="18">
      <c r="A22" s="27" t="s">
        <v>165</v>
      </c>
      <c r="B22" s="27" t="s">
        <v>166</v>
      </c>
      <c r="C22" s="27" t="s">
        <v>133</v>
      </c>
      <c r="D22" s="27" t="s">
        <v>79</v>
      </c>
      <c r="E22" s="27" t="s">
        <v>167</v>
      </c>
      <c r="F22" s="29">
        <v>1.3100000000000001E-2</v>
      </c>
      <c r="G22" s="30">
        <v>119830456.73999999</v>
      </c>
      <c r="H22" s="31">
        <v>527446</v>
      </c>
      <c r="I22" s="27" t="s">
        <v>168</v>
      </c>
      <c r="J22" s="27" t="s">
        <v>29</v>
      </c>
      <c r="K22" s="28">
        <f t="shared" si="0"/>
        <v>0.49690000000000001</v>
      </c>
      <c r="L22">
        <v>21</v>
      </c>
    </row>
    <row r="23" spans="1:12" ht="18">
      <c r="A23" s="27" t="s">
        <v>169</v>
      </c>
      <c r="B23" s="27" t="s">
        <v>170</v>
      </c>
      <c r="C23" s="27" t="s">
        <v>133</v>
      </c>
      <c r="D23" s="27" t="s">
        <v>79</v>
      </c>
      <c r="E23" s="27" t="s">
        <v>171</v>
      </c>
      <c r="F23" s="29">
        <v>1.1900000000000001E-2</v>
      </c>
      <c r="G23" s="30">
        <v>109309674.94</v>
      </c>
      <c r="H23" s="31">
        <v>630463</v>
      </c>
      <c r="I23" s="27" t="s">
        <v>172</v>
      </c>
      <c r="J23" s="27" t="s">
        <v>29</v>
      </c>
      <c r="K23" s="28">
        <f t="shared" si="0"/>
        <v>0.50880000000000003</v>
      </c>
      <c r="L23">
        <v>22</v>
      </c>
    </row>
    <row r="24" spans="1:12" ht="18">
      <c r="A24" s="27" t="s">
        <v>173</v>
      </c>
      <c r="B24" s="27" t="s">
        <v>174</v>
      </c>
      <c r="C24" s="27" t="s">
        <v>119</v>
      </c>
      <c r="D24" s="27" t="s">
        <v>79</v>
      </c>
      <c r="E24" s="27" t="s">
        <v>175</v>
      </c>
      <c r="F24" s="29">
        <v>1.06E-2</v>
      </c>
      <c r="G24" s="30">
        <v>97555117.920000002</v>
      </c>
      <c r="H24" s="31">
        <v>324168</v>
      </c>
      <c r="I24" s="27" t="s">
        <v>176</v>
      </c>
      <c r="J24" s="27" t="s">
        <v>29</v>
      </c>
      <c r="K24" s="28">
        <f t="shared" si="0"/>
        <v>0.51940000000000008</v>
      </c>
      <c r="L24">
        <v>23</v>
      </c>
    </row>
    <row r="25" spans="1:12" ht="18">
      <c r="A25" s="27" t="s">
        <v>177</v>
      </c>
      <c r="B25" s="27" t="s">
        <v>178</v>
      </c>
      <c r="C25" s="27" t="s">
        <v>84</v>
      </c>
      <c r="D25" s="27" t="s">
        <v>79</v>
      </c>
      <c r="E25" s="27" t="s">
        <v>179</v>
      </c>
      <c r="F25" s="29">
        <v>1.04E-2</v>
      </c>
      <c r="G25" s="30">
        <v>95799998.200000003</v>
      </c>
      <c r="H25" s="31">
        <v>582017</v>
      </c>
      <c r="I25" s="27" t="s">
        <v>180</v>
      </c>
      <c r="J25" s="27" t="s">
        <v>29</v>
      </c>
      <c r="K25" s="28">
        <f t="shared" ref="K25:K36" si="1">F25+K24</f>
        <v>0.52980000000000005</v>
      </c>
      <c r="L25">
        <v>24</v>
      </c>
    </row>
    <row r="26" spans="1:12" ht="18">
      <c r="A26" s="27" t="s">
        <v>181</v>
      </c>
      <c r="B26" s="27" t="s">
        <v>182</v>
      </c>
      <c r="C26" s="27" t="s">
        <v>119</v>
      </c>
      <c r="D26" s="27" t="s">
        <v>79</v>
      </c>
      <c r="E26" s="27" t="s">
        <v>183</v>
      </c>
      <c r="F26" s="29">
        <v>1.04E-2</v>
      </c>
      <c r="G26" s="30">
        <v>95262226.200000003</v>
      </c>
      <c r="H26" s="31">
        <v>591985</v>
      </c>
      <c r="I26" s="27" t="s">
        <v>184</v>
      </c>
      <c r="J26" s="27" t="s">
        <v>29</v>
      </c>
      <c r="K26" s="28">
        <f t="shared" si="1"/>
        <v>0.54020000000000001</v>
      </c>
      <c r="L26">
        <v>25</v>
      </c>
    </row>
    <row r="27" spans="1:12" ht="18">
      <c r="A27" s="27" t="s">
        <v>185</v>
      </c>
      <c r="B27" s="27" t="s">
        <v>186</v>
      </c>
      <c r="C27" s="27" t="s">
        <v>119</v>
      </c>
      <c r="D27" s="27" t="s">
        <v>79</v>
      </c>
      <c r="E27" s="27" t="s">
        <v>187</v>
      </c>
      <c r="F27" s="29">
        <v>1.01E-2</v>
      </c>
      <c r="G27" s="30">
        <v>92246973.349999994</v>
      </c>
      <c r="H27" s="31">
        <v>360551</v>
      </c>
      <c r="I27" s="27" t="s">
        <v>188</v>
      </c>
      <c r="J27" s="27" t="s">
        <v>29</v>
      </c>
      <c r="K27" s="28">
        <f t="shared" si="1"/>
        <v>0.55030000000000001</v>
      </c>
      <c r="L27">
        <v>26</v>
      </c>
    </row>
    <row r="28" spans="1:12" ht="18">
      <c r="A28" s="27" t="s">
        <v>189</v>
      </c>
      <c r="B28" s="27" t="s">
        <v>190</v>
      </c>
      <c r="C28" s="27" t="s">
        <v>124</v>
      </c>
      <c r="D28" s="27" t="s">
        <v>79</v>
      </c>
      <c r="E28" s="27" t="s">
        <v>191</v>
      </c>
      <c r="F28" s="29">
        <v>0.01</v>
      </c>
      <c r="G28" s="30">
        <v>91322556.359999999</v>
      </c>
      <c r="H28" s="31">
        <v>391539</v>
      </c>
      <c r="I28" s="27" t="s">
        <v>192</v>
      </c>
      <c r="J28" s="27" t="s">
        <v>29</v>
      </c>
      <c r="K28" s="28">
        <f t="shared" si="1"/>
        <v>0.56030000000000002</v>
      </c>
      <c r="L28">
        <v>27</v>
      </c>
    </row>
    <row r="29" spans="1:12" ht="18">
      <c r="A29" s="27" t="s">
        <v>193</v>
      </c>
      <c r="B29" s="27" t="s">
        <v>194</v>
      </c>
      <c r="C29" s="27" t="s">
        <v>133</v>
      </c>
      <c r="D29" s="27" t="s">
        <v>79</v>
      </c>
      <c r="E29" s="27" t="s">
        <v>195</v>
      </c>
      <c r="F29" s="29">
        <v>9.2999999999999992E-3</v>
      </c>
      <c r="G29" s="30">
        <v>85093204</v>
      </c>
      <c r="H29" s="31">
        <v>518861</v>
      </c>
      <c r="I29" s="27" t="s">
        <v>196</v>
      </c>
      <c r="J29" s="27" t="s">
        <v>29</v>
      </c>
      <c r="K29" s="28">
        <f t="shared" si="1"/>
        <v>0.5696</v>
      </c>
      <c r="L29">
        <v>28</v>
      </c>
    </row>
    <row r="30" spans="1:12" ht="18">
      <c r="A30" s="27" t="s">
        <v>197</v>
      </c>
      <c r="B30" s="27" t="s">
        <v>198</v>
      </c>
      <c r="C30" s="27" t="s">
        <v>146</v>
      </c>
      <c r="D30" s="27" t="s">
        <v>79</v>
      </c>
      <c r="E30" s="27" t="s">
        <v>199</v>
      </c>
      <c r="F30" s="29">
        <v>9.1000000000000004E-3</v>
      </c>
      <c r="G30" s="30">
        <v>83161006.109999999</v>
      </c>
      <c r="H30" s="31">
        <v>115199</v>
      </c>
      <c r="I30" s="27" t="s">
        <v>200</v>
      </c>
      <c r="J30" s="27" t="s">
        <v>29</v>
      </c>
      <c r="K30" s="28">
        <f t="shared" si="1"/>
        <v>0.57869999999999999</v>
      </c>
      <c r="L30">
        <v>29</v>
      </c>
    </row>
    <row r="31" spans="1:12" ht="18">
      <c r="A31" s="27" t="s">
        <v>201</v>
      </c>
      <c r="B31" s="27" t="s">
        <v>202</v>
      </c>
      <c r="C31" s="27" t="s">
        <v>133</v>
      </c>
      <c r="D31" s="27" t="s">
        <v>79</v>
      </c>
      <c r="E31" s="27" t="s">
        <v>203</v>
      </c>
      <c r="F31" s="29">
        <v>8.6999999999999994E-3</v>
      </c>
      <c r="G31" s="30">
        <v>79868602.900000006</v>
      </c>
      <c r="H31" s="31">
        <v>1678970</v>
      </c>
      <c r="I31" s="27" t="s">
        <v>204</v>
      </c>
      <c r="J31" s="27" t="s">
        <v>29</v>
      </c>
      <c r="K31" s="28">
        <f t="shared" si="1"/>
        <v>0.58740000000000003</v>
      </c>
      <c r="L31">
        <v>30</v>
      </c>
    </row>
    <row r="32" spans="1:12" ht="18">
      <c r="A32" s="27" t="s">
        <v>205</v>
      </c>
      <c r="B32" s="27" t="s">
        <v>206</v>
      </c>
      <c r="C32" s="27" t="s">
        <v>133</v>
      </c>
      <c r="D32" s="27" t="s">
        <v>79</v>
      </c>
      <c r="E32" s="27" t="s">
        <v>207</v>
      </c>
      <c r="F32" s="29">
        <v>8.6999999999999994E-3</v>
      </c>
      <c r="G32" s="30">
        <v>79856872.680000007</v>
      </c>
      <c r="H32" s="31">
        <v>454714</v>
      </c>
      <c r="I32" s="27" t="s">
        <v>208</v>
      </c>
      <c r="J32" s="27" t="s">
        <v>29</v>
      </c>
      <c r="K32" s="28">
        <f t="shared" si="1"/>
        <v>0.59610000000000007</v>
      </c>
      <c r="L32">
        <v>31</v>
      </c>
    </row>
    <row r="33" spans="1:12" ht="18">
      <c r="A33" s="27" t="s">
        <v>209</v>
      </c>
      <c r="B33" s="27" t="s">
        <v>210</v>
      </c>
      <c r="C33" s="27" t="s">
        <v>119</v>
      </c>
      <c r="D33" s="27" t="s">
        <v>79</v>
      </c>
      <c r="E33" s="27" t="s">
        <v>211</v>
      </c>
      <c r="F33" s="29">
        <v>8.6E-3</v>
      </c>
      <c r="G33" s="30">
        <v>78680985.439999998</v>
      </c>
      <c r="H33" s="31">
        <v>160129</v>
      </c>
      <c r="I33" s="27" t="s">
        <v>212</v>
      </c>
      <c r="J33" s="27" t="s">
        <v>29</v>
      </c>
      <c r="K33" s="28">
        <f t="shared" si="1"/>
        <v>0.60470000000000013</v>
      </c>
      <c r="L33">
        <v>32</v>
      </c>
    </row>
    <row r="34" spans="1:12" ht="18">
      <c r="A34" s="27" t="s">
        <v>213</v>
      </c>
      <c r="B34" s="27" t="s">
        <v>214</v>
      </c>
      <c r="C34" s="27" t="s">
        <v>93</v>
      </c>
      <c r="D34" s="27" t="s">
        <v>79</v>
      </c>
      <c r="E34" s="27" t="s">
        <v>215</v>
      </c>
      <c r="F34" s="29">
        <v>8.5000000000000006E-3</v>
      </c>
      <c r="G34" s="30">
        <v>78034193.099999994</v>
      </c>
      <c r="H34" s="31">
        <v>1002366</v>
      </c>
      <c r="I34" s="27" t="s">
        <v>216</v>
      </c>
      <c r="J34" s="27" t="s">
        <v>29</v>
      </c>
      <c r="K34" s="28">
        <f t="shared" si="1"/>
        <v>0.61320000000000008</v>
      </c>
      <c r="L34">
        <v>33</v>
      </c>
    </row>
    <row r="35" spans="1:12" ht="18">
      <c r="A35" s="27" t="s">
        <v>217</v>
      </c>
      <c r="B35" s="27" t="s">
        <v>218</v>
      </c>
      <c r="C35" s="27" t="s">
        <v>119</v>
      </c>
      <c r="D35" s="27" t="s">
        <v>79</v>
      </c>
      <c r="E35" s="27" t="s">
        <v>219</v>
      </c>
      <c r="F35" s="29">
        <v>8.2000000000000007E-3</v>
      </c>
      <c r="G35" s="30">
        <v>75258427.530000001</v>
      </c>
      <c r="H35" s="31">
        <v>290719</v>
      </c>
      <c r="I35" s="27" t="s">
        <v>220</v>
      </c>
      <c r="J35" s="27" t="s">
        <v>29</v>
      </c>
      <c r="K35" s="28">
        <f t="shared" si="1"/>
        <v>0.62140000000000006</v>
      </c>
      <c r="L35">
        <v>34</v>
      </c>
    </row>
    <row r="36" spans="1:12" ht="18">
      <c r="A36" s="27" t="s">
        <v>221</v>
      </c>
      <c r="B36" s="27" t="s">
        <v>222</v>
      </c>
      <c r="C36" s="27" t="s">
        <v>223</v>
      </c>
      <c r="D36" s="27" t="s">
        <v>79</v>
      </c>
      <c r="E36" s="27" t="s">
        <v>224</v>
      </c>
      <c r="F36" s="29">
        <v>7.4000000000000003E-3</v>
      </c>
      <c r="G36" s="30">
        <v>68336851.609999999</v>
      </c>
      <c r="H36" s="31">
        <v>501997</v>
      </c>
      <c r="I36" s="27" t="s">
        <v>225</v>
      </c>
      <c r="J36" s="27" t="s">
        <v>29</v>
      </c>
      <c r="K36" s="28">
        <f t="shared" si="1"/>
        <v>0.62880000000000003</v>
      </c>
      <c r="L36">
        <v>35</v>
      </c>
    </row>
    <row r="37" spans="1:12" ht="18">
      <c r="A37" s="27" t="s">
        <v>226</v>
      </c>
      <c r="B37" s="27" t="s">
        <v>227</v>
      </c>
      <c r="C37" s="27" t="s">
        <v>133</v>
      </c>
      <c r="D37" s="27" t="s">
        <v>79</v>
      </c>
      <c r="E37" s="27" t="s">
        <v>228</v>
      </c>
      <c r="F37" s="29">
        <v>7.1999999999999998E-3</v>
      </c>
      <c r="G37" s="30">
        <v>65829870.880000003</v>
      </c>
      <c r="H37" s="31">
        <v>209296</v>
      </c>
      <c r="I37" s="27" t="s">
        <v>229</v>
      </c>
      <c r="J37" s="27" t="s">
        <v>29</v>
      </c>
      <c r="K37" s="28">
        <f t="shared" ref="K37:K59" si="2">F37+K36</f>
        <v>0.63600000000000001</v>
      </c>
      <c r="L37">
        <v>36</v>
      </c>
    </row>
    <row r="38" spans="1:12" ht="18">
      <c r="A38" s="27" t="s">
        <v>230</v>
      </c>
      <c r="B38" s="27" t="s">
        <v>231</v>
      </c>
      <c r="C38" s="27" t="s">
        <v>223</v>
      </c>
      <c r="D38" s="27" t="s">
        <v>79</v>
      </c>
      <c r="E38" s="27" t="s">
        <v>232</v>
      </c>
      <c r="F38" s="29">
        <v>6.7999999999999996E-3</v>
      </c>
      <c r="G38" s="30">
        <v>62786172.909999996</v>
      </c>
      <c r="H38" s="31">
        <v>609397</v>
      </c>
      <c r="I38" s="27" t="s">
        <v>233</v>
      </c>
      <c r="J38" s="27" t="s">
        <v>29</v>
      </c>
      <c r="K38" s="28">
        <f t="shared" si="2"/>
        <v>0.64280000000000004</v>
      </c>
      <c r="L38">
        <v>37</v>
      </c>
    </row>
    <row r="39" spans="1:12" ht="18">
      <c r="A39" s="27" t="s">
        <v>234</v>
      </c>
      <c r="B39" s="27" t="s">
        <v>235</v>
      </c>
      <c r="C39" s="27" t="s">
        <v>93</v>
      </c>
      <c r="D39" s="27" t="s">
        <v>79</v>
      </c>
      <c r="E39" s="27" t="s">
        <v>236</v>
      </c>
      <c r="F39" s="29">
        <v>6.7999999999999996E-3</v>
      </c>
      <c r="G39" s="30">
        <v>62239603.280000001</v>
      </c>
      <c r="H39" s="31">
        <v>754328</v>
      </c>
      <c r="I39" s="27" t="s">
        <v>237</v>
      </c>
      <c r="J39" s="27" t="s">
        <v>29</v>
      </c>
      <c r="K39" s="28">
        <f t="shared" si="2"/>
        <v>0.64960000000000007</v>
      </c>
      <c r="L39">
        <v>38</v>
      </c>
    </row>
    <row r="40" spans="1:12" ht="18">
      <c r="A40" s="27" t="s">
        <v>238</v>
      </c>
      <c r="B40" s="27" t="s">
        <v>239</v>
      </c>
      <c r="C40" s="27" t="s">
        <v>119</v>
      </c>
      <c r="D40" s="27" t="s">
        <v>79</v>
      </c>
      <c r="E40" s="27" t="s">
        <v>240</v>
      </c>
      <c r="F40" s="29">
        <v>6.7000000000000002E-3</v>
      </c>
      <c r="G40" s="30">
        <v>61802565.240000002</v>
      </c>
      <c r="H40" s="31">
        <v>789204</v>
      </c>
      <c r="I40" s="27" t="s">
        <v>241</v>
      </c>
      <c r="J40" s="27" t="s">
        <v>29</v>
      </c>
      <c r="K40" s="28">
        <f t="shared" si="2"/>
        <v>0.65630000000000011</v>
      </c>
      <c r="L40">
        <v>39</v>
      </c>
    </row>
    <row r="41" spans="1:12" ht="18">
      <c r="A41" s="27" t="s">
        <v>242</v>
      </c>
      <c r="B41" s="27" t="s">
        <v>243</v>
      </c>
      <c r="C41" s="27" t="s">
        <v>124</v>
      </c>
      <c r="D41" s="27" t="s">
        <v>79</v>
      </c>
      <c r="E41" s="27" t="s">
        <v>244</v>
      </c>
      <c r="F41" s="29">
        <v>6.6E-3</v>
      </c>
      <c r="G41" s="30">
        <v>60377056.530000001</v>
      </c>
      <c r="H41" s="31">
        <v>877191</v>
      </c>
      <c r="I41" s="27" t="s">
        <v>245</v>
      </c>
      <c r="J41" s="27" t="s">
        <v>29</v>
      </c>
      <c r="K41" s="28">
        <f t="shared" si="2"/>
        <v>0.66290000000000016</v>
      </c>
      <c r="L41">
        <v>40</v>
      </c>
    </row>
    <row r="42" spans="1:12" ht="18">
      <c r="A42" s="27" t="s">
        <v>246</v>
      </c>
      <c r="B42" s="27" t="s">
        <v>247</v>
      </c>
      <c r="C42" s="27" t="s">
        <v>119</v>
      </c>
      <c r="D42" s="27" t="s">
        <v>79</v>
      </c>
      <c r="E42" s="27" t="s">
        <v>248</v>
      </c>
      <c r="F42" s="29">
        <v>6.4000000000000003E-3</v>
      </c>
      <c r="G42" s="30">
        <v>59152249.359999999</v>
      </c>
      <c r="H42" s="31">
        <v>376958</v>
      </c>
      <c r="I42" s="27" t="s">
        <v>249</v>
      </c>
      <c r="J42" s="27" t="s">
        <v>29</v>
      </c>
      <c r="K42" s="28">
        <f t="shared" si="2"/>
        <v>0.66930000000000012</v>
      </c>
      <c r="L42">
        <v>41</v>
      </c>
    </row>
    <row r="43" spans="1:12" ht="18">
      <c r="A43" s="27" t="s">
        <v>250</v>
      </c>
      <c r="B43" s="27" t="s">
        <v>251</v>
      </c>
      <c r="C43" s="27" t="s">
        <v>93</v>
      </c>
      <c r="D43" s="27" t="s">
        <v>79</v>
      </c>
      <c r="E43" s="27" t="s">
        <v>252</v>
      </c>
      <c r="F43" s="29">
        <v>6.4000000000000003E-3</v>
      </c>
      <c r="G43" s="30">
        <v>58800366.390000001</v>
      </c>
      <c r="H43" s="31">
        <v>429733</v>
      </c>
      <c r="I43" s="27" t="s">
        <v>253</v>
      </c>
      <c r="J43" s="27" t="s">
        <v>29</v>
      </c>
      <c r="K43" s="28">
        <f t="shared" si="2"/>
        <v>0.67570000000000008</v>
      </c>
      <c r="L43">
        <v>42</v>
      </c>
    </row>
    <row r="44" spans="1:12" ht="18">
      <c r="A44" s="27" t="s">
        <v>254</v>
      </c>
      <c r="B44" s="27" t="s">
        <v>255</v>
      </c>
      <c r="C44" s="27" t="s">
        <v>133</v>
      </c>
      <c r="D44" s="27" t="s">
        <v>79</v>
      </c>
      <c r="E44" s="27" t="s">
        <v>256</v>
      </c>
      <c r="F44" s="29">
        <v>6.4000000000000003E-3</v>
      </c>
      <c r="G44" s="30">
        <v>58601654.399999999</v>
      </c>
      <c r="H44" s="31">
        <v>302195</v>
      </c>
      <c r="I44" s="27" t="s">
        <v>257</v>
      </c>
      <c r="J44" s="27" t="s">
        <v>29</v>
      </c>
      <c r="K44" s="28">
        <f t="shared" si="2"/>
        <v>0.68210000000000004</v>
      </c>
      <c r="L44">
        <v>43</v>
      </c>
    </row>
    <row r="45" spans="1:12" ht="18">
      <c r="A45" s="27" t="s">
        <v>258</v>
      </c>
      <c r="B45" s="27" t="s">
        <v>259</v>
      </c>
      <c r="C45" s="27" t="s">
        <v>119</v>
      </c>
      <c r="D45" s="27" t="s">
        <v>79</v>
      </c>
      <c r="E45" s="27" t="s">
        <v>260</v>
      </c>
      <c r="F45" s="29">
        <v>6.1000000000000004E-3</v>
      </c>
      <c r="G45" s="30">
        <v>56042593.920000002</v>
      </c>
      <c r="H45" s="31">
        <v>727448</v>
      </c>
      <c r="I45" s="27" t="s">
        <v>261</v>
      </c>
      <c r="J45" s="27" t="s">
        <v>29</v>
      </c>
      <c r="K45" s="28">
        <f t="shared" si="2"/>
        <v>0.68820000000000003</v>
      </c>
      <c r="L45">
        <v>44</v>
      </c>
    </row>
    <row r="46" spans="1:12" ht="18">
      <c r="A46" s="27" t="s">
        <v>262</v>
      </c>
      <c r="B46" s="27" t="s">
        <v>263</v>
      </c>
      <c r="C46" s="27" t="s">
        <v>264</v>
      </c>
      <c r="D46" s="27" t="s">
        <v>79</v>
      </c>
      <c r="E46" s="27" t="s">
        <v>265</v>
      </c>
      <c r="F46" s="29">
        <v>6.0000000000000001E-3</v>
      </c>
      <c r="G46" s="30">
        <v>55031114.200000003</v>
      </c>
      <c r="H46" s="31">
        <v>1012532</v>
      </c>
      <c r="I46" s="27" t="s">
        <v>266</v>
      </c>
      <c r="J46" s="27" t="s">
        <v>29</v>
      </c>
      <c r="K46" s="28">
        <f t="shared" si="2"/>
        <v>0.69420000000000004</v>
      </c>
      <c r="L46">
        <v>45</v>
      </c>
    </row>
    <row r="47" spans="1:12" ht="18">
      <c r="A47" s="27" t="s">
        <v>267</v>
      </c>
      <c r="B47" s="27" t="s">
        <v>268</v>
      </c>
      <c r="C47" s="27" t="s">
        <v>124</v>
      </c>
      <c r="D47" s="27" t="s">
        <v>79</v>
      </c>
      <c r="E47" s="27" t="s">
        <v>269</v>
      </c>
      <c r="F47" s="29">
        <v>5.8999999999999999E-3</v>
      </c>
      <c r="G47" s="30">
        <v>53900105.780000001</v>
      </c>
      <c r="H47" s="31">
        <v>294038</v>
      </c>
      <c r="I47" s="27" t="s">
        <v>270</v>
      </c>
      <c r="J47" s="27" t="s">
        <v>29</v>
      </c>
      <c r="K47" s="28">
        <f t="shared" si="2"/>
        <v>0.70010000000000006</v>
      </c>
      <c r="L47">
        <v>46</v>
      </c>
    </row>
    <row r="48" spans="1:12" ht="18">
      <c r="A48" s="27" t="s">
        <v>271</v>
      </c>
      <c r="B48" s="27" t="s">
        <v>272</v>
      </c>
      <c r="C48" s="27" t="s">
        <v>119</v>
      </c>
      <c r="D48" s="27" t="s">
        <v>79</v>
      </c>
      <c r="E48" s="27" t="s">
        <v>273</v>
      </c>
      <c r="F48" s="29">
        <v>5.7999999999999996E-3</v>
      </c>
      <c r="G48" s="30">
        <v>53038821.479999997</v>
      </c>
      <c r="H48" s="31">
        <v>184137</v>
      </c>
      <c r="I48" s="27" t="s">
        <v>274</v>
      </c>
      <c r="J48" s="27" t="s">
        <v>29</v>
      </c>
      <c r="K48" s="28">
        <f t="shared" si="2"/>
        <v>0.70590000000000008</v>
      </c>
      <c r="L48">
        <v>47</v>
      </c>
    </row>
    <row r="49" spans="1:12" ht="18">
      <c r="A49" s="27" t="s">
        <v>275</v>
      </c>
      <c r="B49" s="27" t="s">
        <v>276</v>
      </c>
      <c r="C49" s="27" t="s">
        <v>264</v>
      </c>
      <c r="D49" s="27" t="s">
        <v>79</v>
      </c>
      <c r="E49" s="27" t="s">
        <v>277</v>
      </c>
      <c r="F49" s="29">
        <v>5.7000000000000002E-3</v>
      </c>
      <c r="G49" s="30">
        <v>51868279.32</v>
      </c>
      <c r="H49" s="31">
        <v>329197</v>
      </c>
      <c r="I49" s="27" t="s">
        <v>278</v>
      </c>
      <c r="J49" s="27" t="s">
        <v>29</v>
      </c>
      <c r="K49" s="28">
        <f t="shared" si="2"/>
        <v>0.71160000000000012</v>
      </c>
      <c r="L49">
        <v>48</v>
      </c>
    </row>
    <row r="50" spans="1:12" ht="18">
      <c r="A50" s="27" t="s">
        <v>279</v>
      </c>
      <c r="B50" s="27" t="s">
        <v>280</v>
      </c>
      <c r="C50" s="27" t="s">
        <v>119</v>
      </c>
      <c r="D50" s="27" t="s">
        <v>79</v>
      </c>
      <c r="E50" s="27" t="s">
        <v>281</v>
      </c>
      <c r="F50" s="29">
        <v>5.4999999999999997E-3</v>
      </c>
      <c r="G50" s="30">
        <v>50680435.960000001</v>
      </c>
      <c r="H50" s="31">
        <v>105787</v>
      </c>
      <c r="I50" s="27" t="s">
        <v>282</v>
      </c>
      <c r="J50" s="27" t="s">
        <v>29</v>
      </c>
      <c r="K50" s="28">
        <f t="shared" si="2"/>
        <v>0.71710000000000007</v>
      </c>
      <c r="L50">
        <v>49</v>
      </c>
    </row>
    <row r="51" spans="1:12" ht="18">
      <c r="A51" s="27" t="s">
        <v>283</v>
      </c>
      <c r="B51" s="27" t="s">
        <v>284</v>
      </c>
      <c r="C51" s="27" t="s">
        <v>264</v>
      </c>
      <c r="D51" s="27" t="s">
        <v>79</v>
      </c>
      <c r="E51" s="27" t="s">
        <v>285</v>
      </c>
      <c r="F51" s="29">
        <v>5.4000000000000003E-3</v>
      </c>
      <c r="G51" s="30">
        <v>49822669.890000001</v>
      </c>
      <c r="H51" s="31">
        <v>322623</v>
      </c>
      <c r="I51" s="27" t="s">
        <v>286</v>
      </c>
      <c r="J51" s="27" t="s">
        <v>29</v>
      </c>
      <c r="K51" s="28">
        <f t="shared" si="2"/>
        <v>0.72250000000000003</v>
      </c>
      <c r="L51">
        <v>50</v>
      </c>
    </row>
    <row r="52" spans="1:12" ht="18">
      <c r="A52" s="27" t="s">
        <v>287</v>
      </c>
      <c r="B52" s="27" t="s">
        <v>288</v>
      </c>
      <c r="C52" s="27" t="s">
        <v>223</v>
      </c>
      <c r="D52" s="27" t="s">
        <v>79</v>
      </c>
      <c r="E52" s="27" t="s">
        <v>289</v>
      </c>
      <c r="F52" s="29">
        <v>5.3E-3</v>
      </c>
      <c r="G52" s="30">
        <v>48763837.850000001</v>
      </c>
      <c r="H52" s="31">
        <v>2586941</v>
      </c>
      <c r="I52" s="27" t="s">
        <v>290</v>
      </c>
      <c r="J52" s="27" t="s">
        <v>29</v>
      </c>
      <c r="K52" s="28">
        <f t="shared" si="2"/>
        <v>0.7278</v>
      </c>
      <c r="L52">
        <v>51</v>
      </c>
    </row>
    <row r="53" spans="1:12" ht="18">
      <c r="A53" s="27" t="s">
        <v>291</v>
      </c>
      <c r="B53" s="27" t="s">
        <v>292</v>
      </c>
      <c r="C53" s="27" t="s">
        <v>223</v>
      </c>
      <c r="D53" s="27" t="s">
        <v>79</v>
      </c>
      <c r="E53" s="27" t="s">
        <v>293</v>
      </c>
      <c r="F53" s="29">
        <v>5.3E-3</v>
      </c>
      <c r="G53" s="30">
        <v>48656801.520000003</v>
      </c>
      <c r="H53" s="31">
        <v>1140572</v>
      </c>
      <c r="I53" s="27" t="s">
        <v>294</v>
      </c>
      <c r="J53" s="27" t="s">
        <v>29</v>
      </c>
      <c r="K53" s="28">
        <f t="shared" si="2"/>
        <v>0.73309999999999997</v>
      </c>
      <c r="L53">
        <v>52</v>
      </c>
    </row>
    <row r="54" spans="1:12" ht="18">
      <c r="A54" s="27" t="s">
        <v>295</v>
      </c>
      <c r="B54" s="27" t="s">
        <v>296</v>
      </c>
      <c r="C54" s="27" t="s">
        <v>124</v>
      </c>
      <c r="D54" s="27" t="s">
        <v>79</v>
      </c>
      <c r="E54" s="27" t="s">
        <v>297</v>
      </c>
      <c r="F54" s="29">
        <v>5.3E-3</v>
      </c>
      <c r="G54" s="30">
        <v>48548074.079999998</v>
      </c>
      <c r="H54" s="31">
        <v>1058384</v>
      </c>
      <c r="I54" s="27" t="s">
        <v>298</v>
      </c>
      <c r="J54" s="27" t="s">
        <v>29</v>
      </c>
      <c r="K54" s="28">
        <f t="shared" si="2"/>
        <v>0.73839999999999995</v>
      </c>
      <c r="L54">
        <v>53</v>
      </c>
    </row>
    <row r="55" spans="1:12" ht="18">
      <c r="A55" s="27" t="s">
        <v>299</v>
      </c>
      <c r="B55" s="27" t="s">
        <v>300</v>
      </c>
      <c r="C55" s="27" t="s">
        <v>133</v>
      </c>
      <c r="D55" s="27" t="s">
        <v>79</v>
      </c>
      <c r="E55" s="27" t="s">
        <v>301</v>
      </c>
      <c r="F55" s="29">
        <v>5.1999999999999998E-3</v>
      </c>
      <c r="G55" s="30">
        <v>47335915.439999998</v>
      </c>
      <c r="H55" s="31">
        <v>965448</v>
      </c>
      <c r="I55" s="27" t="s">
        <v>302</v>
      </c>
      <c r="J55" s="27" t="s">
        <v>29</v>
      </c>
      <c r="K55" s="28">
        <f t="shared" si="2"/>
        <v>0.74359999999999993</v>
      </c>
      <c r="L55">
        <v>54</v>
      </c>
    </row>
    <row r="56" spans="1:12" ht="18">
      <c r="A56" s="27" t="s">
        <v>303</v>
      </c>
      <c r="B56" s="27" t="s">
        <v>304</v>
      </c>
      <c r="C56" s="27" t="s">
        <v>133</v>
      </c>
      <c r="D56" s="27" t="s">
        <v>79</v>
      </c>
      <c r="E56" s="27" t="s">
        <v>305</v>
      </c>
      <c r="F56" s="29">
        <v>5.1000000000000004E-3</v>
      </c>
      <c r="G56" s="30">
        <v>47251638</v>
      </c>
      <c r="H56" s="31">
        <v>467838</v>
      </c>
      <c r="I56" s="27" t="s">
        <v>306</v>
      </c>
      <c r="J56" s="27" t="s">
        <v>29</v>
      </c>
      <c r="K56" s="28">
        <f t="shared" si="2"/>
        <v>0.74869999999999992</v>
      </c>
      <c r="L56">
        <v>55</v>
      </c>
    </row>
    <row r="57" spans="1:12" ht="18">
      <c r="A57" s="27" t="s">
        <v>307</v>
      </c>
      <c r="B57" s="27" t="s">
        <v>308</v>
      </c>
      <c r="C57" s="27" t="s">
        <v>84</v>
      </c>
      <c r="D57" s="27" t="s">
        <v>79</v>
      </c>
      <c r="E57" s="27" t="s">
        <v>309</v>
      </c>
      <c r="F57" s="29">
        <v>5.1000000000000004E-3</v>
      </c>
      <c r="G57" s="30">
        <v>47216345.359999999</v>
      </c>
      <c r="H57" s="31">
        <v>344947</v>
      </c>
      <c r="I57" s="27" t="s">
        <v>310</v>
      </c>
      <c r="J57" s="27" t="s">
        <v>29</v>
      </c>
      <c r="K57" s="28">
        <f t="shared" si="2"/>
        <v>0.75379999999999991</v>
      </c>
      <c r="L57">
        <v>56</v>
      </c>
    </row>
    <row r="58" spans="1:12" ht="18">
      <c r="A58" s="27" t="s">
        <v>311</v>
      </c>
      <c r="B58" s="27" t="s">
        <v>312</v>
      </c>
      <c r="C58" s="27" t="s">
        <v>133</v>
      </c>
      <c r="D58" s="27" t="s">
        <v>79</v>
      </c>
      <c r="E58" s="27" t="s">
        <v>313</v>
      </c>
      <c r="F58" s="29">
        <v>4.8999999999999998E-3</v>
      </c>
      <c r="G58" s="30">
        <v>45324474.479999997</v>
      </c>
      <c r="H58" s="31">
        <v>136036</v>
      </c>
      <c r="I58" s="27" t="s">
        <v>314</v>
      </c>
      <c r="J58" s="27" t="s">
        <v>29</v>
      </c>
      <c r="K58" s="28">
        <f t="shared" si="2"/>
        <v>0.75869999999999993</v>
      </c>
      <c r="L58">
        <v>57</v>
      </c>
    </row>
    <row r="59" spans="1:12" ht="18">
      <c r="A59" s="27" t="s">
        <v>315</v>
      </c>
      <c r="B59" s="27" t="s">
        <v>316</v>
      </c>
      <c r="C59" s="27" t="s">
        <v>124</v>
      </c>
      <c r="D59" s="27" t="s">
        <v>79</v>
      </c>
      <c r="E59" s="27" t="s">
        <v>317</v>
      </c>
      <c r="F59" s="29">
        <v>4.8999999999999998E-3</v>
      </c>
      <c r="G59" s="30">
        <v>44816320.25</v>
      </c>
      <c r="H59" s="31">
        <v>177385</v>
      </c>
      <c r="I59" s="27" t="s">
        <v>318</v>
      </c>
      <c r="J59" s="27" t="s">
        <v>29</v>
      </c>
      <c r="K59" s="28">
        <f t="shared" si="2"/>
        <v>0.76359999999999995</v>
      </c>
      <c r="L59">
        <v>58</v>
      </c>
    </row>
    <row r="60" spans="1:12" ht="18">
      <c r="A60" s="27" t="s">
        <v>319</v>
      </c>
      <c r="B60" s="27" t="s">
        <v>320</v>
      </c>
      <c r="C60" s="27" t="s">
        <v>223</v>
      </c>
      <c r="D60" s="27" t="s">
        <v>79</v>
      </c>
      <c r="E60" s="27" t="s">
        <v>321</v>
      </c>
      <c r="F60" s="29">
        <v>4.7999999999999996E-3</v>
      </c>
      <c r="G60" s="30">
        <v>44256019.68</v>
      </c>
      <c r="H60" s="31">
        <v>282768</v>
      </c>
      <c r="I60" s="27" t="s">
        <v>322</v>
      </c>
      <c r="J60" s="27" t="s">
        <v>29</v>
      </c>
      <c r="K60" s="28">
        <f t="shared" ref="K60:K123" si="3">F60+K59</f>
        <v>0.76839999999999997</v>
      </c>
      <c r="L60">
        <v>59</v>
      </c>
    </row>
    <row r="61" spans="1:12" ht="18">
      <c r="A61" s="27" t="s">
        <v>323</v>
      </c>
      <c r="B61" s="27" t="s">
        <v>324</v>
      </c>
      <c r="C61" s="27" t="s">
        <v>119</v>
      </c>
      <c r="D61" s="27" t="s">
        <v>79</v>
      </c>
      <c r="E61" s="27" t="s">
        <v>325</v>
      </c>
      <c r="F61" s="29">
        <v>4.7999999999999996E-3</v>
      </c>
      <c r="G61" s="30">
        <v>44144369.640000001</v>
      </c>
      <c r="H61" s="31">
        <v>28338</v>
      </c>
      <c r="I61" s="27" t="s">
        <v>326</v>
      </c>
      <c r="J61" s="27" t="s">
        <v>29</v>
      </c>
      <c r="K61" s="28">
        <f t="shared" si="3"/>
        <v>0.7732</v>
      </c>
      <c r="L61">
        <v>60</v>
      </c>
    </row>
    <row r="62" spans="1:12" ht="18">
      <c r="A62" s="27" t="s">
        <v>327</v>
      </c>
      <c r="B62" s="27" t="s">
        <v>328</v>
      </c>
      <c r="C62" s="27" t="s">
        <v>124</v>
      </c>
      <c r="D62" s="27" t="s">
        <v>79</v>
      </c>
      <c r="E62" s="27" t="s">
        <v>329</v>
      </c>
      <c r="F62" s="29">
        <v>4.7999999999999996E-3</v>
      </c>
      <c r="G62" s="30">
        <v>43995627</v>
      </c>
      <c r="H62" s="31">
        <v>528476</v>
      </c>
      <c r="I62" s="27" t="s">
        <v>330</v>
      </c>
      <c r="J62" s="27" t="s">
        <v>29</v>
      </c>
      <c r="K62" s="28">
        <f t="shared" si="3"/>
        <v>0.77800000000000002</v>
      </c>
      <c r="L62">
        <v>61</v>
      </c>
    </row>
    <row r="63" spans="1:12" ht="18">
      <c r="A63" s="27" t="s">
        <v>331</v>
      </c>
      <c r="B63" s="27" t="s">
        <v>332</v>
      </c>
      <c r="C63" s="27" t="s">
        <v>106</v>
      </c>
      <c r="D63" s="27" t="s">
        <v>79</v>
      </c>
      <c r="E63" s="27" t="s">
        <v>333</v>
      </c>
      <c r="F63" s="29">
        <v>4.7999999999999996E-3</v>
      </c>
      <c r="G63" s="30">
        <v>43867841.759999998</v>
      </c>
      <c r="H63" s="31">
        <v>349656</v>
      </c>
      <c r="I63" s="27" t="s">
        <v>334</v>
      </c>
      <c r="J63" s="27" t="s">
        <v>29</v>
      </c>
      <c r="K63" s="28">
        <f t="shared" si="3"/>
        <v>0.78280000000000005</v>
      </c>
      <c r="L63">
        <v>62</v>
      </c>
    </row>
    <row r="64" spans="1:12" ht="18">
      <c r="A64" s="27" t="s">
        <v>335</v>
      </c>
      <c r="B64" s="27" t="s">
        <v>336</v>
      </c>
      <c r="C64" s="27" t="s">
        <v>337</v>
      </c>
      <c r="D64" s="27" t="s">
        <v>79</v>
      </c>
      <c r="E64" s="27" t="s">
        <v>338</v>
      </c>
      <c r="F64" s="29">
        <v>4.7000000000000002E-3</v>
      </c>
      <c r="G64" s="30">
        <v>43030197.950000003</v>
      </c>
      <c r="H64" s="31">
        <v>445955</v>
      </c>
      <c r="I64" s="27" t="s">
        <v>339</v>
      </c>
      <c r="J64" s="27" t="s">
        <v>29</v>
      </c>
      <c r="K64" s="28">
        <f t="shared" si="3"/>
        <v>0.78750000000000009</v>
      </c>
      <c r="L64">
        <v>63</v>
      </c>
    </row>
    <row r="65" spans="1:12" ht="18">
      <c r="A65" s="27" t="s">
        <v>340</v>
      </c>
      <c r="B65" s="27" t="s">
        <v>341</v>
      </c>
      <c r="C65" s="27" t="s">
        <v>124</v>
      </c>
      <c r="D65" s="27" t="s">
        <v>79</v>
      </c>
      <c r="E65" s="27" t="s">
        <v>342</v>
      </c>
      <c r="F65" s="29">
        <v>4.5999999999999999E-3</v>
      </c>
      <c r="G65" s="30">
        <v>41925430.920000002</v>
      </c>
      <c r="H65" s="31">
        <v>146983</v>
      </c>
      <c r="I65" s="27" t="s">
        <v>343</v>
      </c>
      <c r="J65" s="27" t="s">
        <v>29</v>
      </c>
      <c r="K65" s="28">
        <f t="shared" si="3"/>
        <v>0.79210000000000014</v>
      </c>
      <c r="L65">
        <v>64</v>
      </c>
    </row>
    <row r="66" spans="1:12" ht="18">
      <c r="A66" s="27" t="s">
        <v>344</v>
      </c>
      <c r="B66" s="27" t="s">
        <v>345</v>
      </c>
      <c r="C66" s="27" t="s">
        <v>146</v>
      </c>
      <c r="D66" s="27" t="s">
        <v>79</v>
      </c>
      <c r="E66" s="27" t="s">
        <v>346</v>
      </c>
      <c r="F66" s="29">
        <v>4.4999999999999997E-3</v>
      </c>
      <c r="G66" s="30">
        <v>41463018.25</v>
      </c>
      <c r="H66" s="31">
        <v>582755</v>
      </c>
      <c r="I66" s="27" t="s">
        <v>347</v>
      </c>
      <c r="J66" s="27" t="s">
        <v>29</v>
      </c>
      <c r="K66" s="28">
        <f t="shared" si="3"/>
        <v>0.79660000000000009</v>
      </c>
      <c r="L66">
        <v>65</v>
      </c>
    </row>
    <row r="67" spans="1:12" ht="18">
      <c r="A67" s="27" t="s">
        <v>348</v>
      </c>
      <c r="B67" s="27" t="s">
        <v>349</v>
      </c>
      <c r="C67" s="27" t="s">
        <v>223</v>
      </c>
      <c r="D67" s="27" t="s">
        <v>79</v>
      </c>
      <c r="E67" s="27" t="s">
        <v>350</v>
      </c>
      <c r="F67" s="29">
        <v>4.4000000000000003E-3</v>
      </c>
      <c r="G67" s="30">
        <v>40732259.990000002</v>
      </c>
      <c r="H67" s="31">
        <v>1287773</v>
      </c>
      <c r="I67" s="27" t="s">
        <v>351</v>
      </c>
      <c r="J67" s="27" t="s">
        <v>29</v>
      </c>
      <c r="K67" s="28">
        <f t="shared" si="3"/>
        <v>0.80100000000000005</v>
      </c>
      <c r="L67">
        <v>66</v>
      </c>
    </row>
    <row r="68" spans="1:12" ht="18">
      <c r="A68" s="27" t="s">
        <v>352</v>
      </c>
      <c r="B68" s="27" t="s">
        <v>353</v>
      </c>
      <c r="C68" s="27" t="s">
        <v>223</v>
      </c>
      <c r="D68" s="27" t="s">
        <v>79</v>
      </c>
      <c r="E68" s="27" t="s">
        <v>354</v>
      </c>
      <c r="F68" s="29">
        <v>4.4000000000000003E-3</v>
      </c>
      <c r="G68" s="30">
        <v>40552016.579999998</v>
      </c>
      <c r="H68" s="31">
        <v>572526</v>
      </c>
      <c r="I68" s="27" t="s">
        <v>355</v>
      </c>
      <c r="J68" s="27" t="s">
        <v>29</v>
      </c>
      <c r="K68" s="28">
        <f t="shared" si="3"/>
        <v>0.8054</v>
      </c>
      <c r="L68">
        <v>67</v>
      </c>
    </row>
    <row r="69" spans="1:12" ht="18">
      <c r="A69" s="27" t="s">
        <v>356</v>
      </c>
      <c r="B69" s="27" t="s">
        <v>357</v>
      </c>
      <c r="C69" s="27" t="s">
        <v>119</v>
      </c>
      <c r="D69" s="27" t="s">
        <v>79</v>
      </c>
      <c r="E69" s="27" t="s">
        <v>358</v>
      </c>
      <c r="F69" s="29">
        <v>4.4000000000000003E-3</v>
      </c>
      <c r="G69" s="30">
        <v>40541161.57</v>
      </c>
      <c r="H69" s="31">
        <v>201587</v>
      </c>
      <c r="I69" s="27" t="s">
        <v>359</v>
      </c>
      <c r="J69" s="27" t="s">
        <v>29</v>
      </c>
      <c r="K69" s="28">
        <f t="shared" si="3"/>
        <v>0.80979999999999996</v>
      </c>
      <c r="L69">
        <v>68</v>
      </c>
    </row>
    <row r="70" spans="1:12" ht="18">
      <c r="A70" s="27" t="s">
        <v>360</v>
      </c>
      <c r="B70" s="27" t="s">
        <v>361</v>
      </c>
      <c r="C70" s="27" t="s">
        <v>119</v>
      </c>
      <c r="D70" s="27" t="s">
        <v>79</v>
      </c>
      <c r="E70" s="27" t="s">
        <v>362</v>
      </c>
      <c r="F70" s="29">
        <v>4.4000000000000003E-3</v>
      </c>
      <c r="G70" s="30">
        <v>40158098.700000003</v>
      </c>
      <c r="H70" s="31">
        <v>184127</v>
      </c>
      <c r="I70" s="27" t="s">
        <v>363</v>
      </c>
      <c r="J70" s="27" t="s">
        <v>29</v>
      </c>
      <c r="K70" s="28">
        <f t="shared" si="3"/>
        <v>0.81419999999999992</v>
      </c>
      <c r="L70">
        <v>69</v>
      </c>
    </row>
    <row r="71" spans="1:12" ht="18">
      <c r="A71" s="27" t="s">
        <v>364</v>
      </c>
      <c r="B71" s="27" t="s">
        <v>365</v>
      </c>
      <c r="C71" s="27" t="s">
        <v>264</v>
      </c>
      <c r="D71" s="27" t="s">
        <v>79</v>
      </c>
      <c r="E71" s="27" t="s">
        <v>366</v>
      </c>
      <c r="F71" s="29">
        <v>4.3E-3</v>
      </c>
      <c r="G71" s="30">
        <v>39590777.600000001</v>
      </c>
      <c r="H71" s="31">
        <v>299024</v>
      </c>
      <c r="I71" s="27" t="s">
        <v>367</v>
      </c>
      <c r="J71" s="27" t="s">
        <v>29</v>
      </c>
      <c r="K71" s="28">
        <f t="shared" si="3"/>
        <v>0.81849999999999989</v>
      </c>
      <c r="L71">
        <v>70</v>
      </c>
    </row>
    <row r="72" spans="1:12" ht="18">
      <c r="A72" s="27" t="s">
        <v>368</v>
      </c>
      <c r="B72" s="27" t="s">
        <v>369</v>
      </c>
      <c r="C72" s="27" t="s">
        <v>124</v>
      </c>
      <c r="D72" s="27" t="s">
        <v>79</v>
      </c>
      <c r="E72" s="27" t="s">
        <v>370</v>
      </c>
      <c r="F72" s="29">
        <v>4.1000000000000003E-3</v>
      </c>
      <c r="G72" s="30">
        <v>37691893.399999999</v>
      </c>
      <c r="H72" s="31">
        <v>119524</v>
      </c>
      <c r="I72" s="27" t="s">
        <v>371</v>
      </c>
      <c r="J72" s="27" t="s">
        <v>29</v>
      </c>
      <c r="K72" s="28">
        <f t="shared" si="3"/>
        <v>0.82259999999999989</v>
      </c>
      <c r="L72">
        <v>71</v>
      </c>
    </row>
    <row r="73" spans="1:12" ht="18">
      <c r="A73" s="27" t="s">
        <v>372</v>
      </c>
      <c r="B73" s="27" t="s">
        <v>373</v>
      </c>
      <c r="C73" s="27" t="s">
        <v>337</v>
      </c>
      <c r="D73" s="27" t="s">
        <v>79</v>
      </c>
      <c r="E73" s="27" t="s">
        <v>374</v>
      </c>
      <c r="F73" s="29">
        <v>4.1000000000000003E-3</v>
      </c>
      <c r="G73" s="30">
        <v>37297906.340000004</v>
      </c>
      <c r="H73" s="31">
        <v>443917</v>
      </c>
      <c r="I73" s="27" t="s">
        <v>375</v>
      </c>
      <c r="J73" s="27" t="s">
        <v>29</v>
      </c>
      <c r="K73" s="28">
        <f t="shared" si="3"/>
        <v>0.82669999999999988</v>
      </c>
      <c r="L73">
        <v>72</v>
      </c>
    </row>
    <row r="74" spans="1:12" ht="18">
      <c r="A74" s="27" t="s">
        <v>376</v>
      </c>
      <c r="B74" s="27" t="s">
        <v>377</v>
      </c>
      <c r="C74" s="27" t="s">
        <v>264</v>
      </c>
      <c r="D74" s="27" t="s">
        <v>79</v>
      </c>
      <c r="E74" s="27" t="s">
        <v>378</v>
      </c>
      <c r="F74" s="29">
        <v>4.1000000000000003E-3</v>
      </c>
      <c r="G74" s="30">
        <v>37274564.560000002</v>
      </c>
      <c r="H74" s="31">
        <v>320669</v>
      </c>
      <c r="I74" s="27" t="s">
        <v>379</v>
      </c>
      <c r="J74" s="27" t="s">
        <v>29</v>
      </c>
      <c r="K74" s="28">
        <f t="shared" si="3"/>
        <v>0.83079999999999987</v>
      </c>
      <c r="L74">
        <v>73</v>
      </c>
    </row>
    <row r="75" spans="1:12" ht="18">
      <c r="A75" s="27" t="s">
        <v>380</v>
      </c>
      <c r="B75" s="27" t="s">
        <v>381</v>
      </c>
      <c r="C75" s="27" t="s">
        <v>337</v>
      </c>
      <c r="D75" s="27" t="s">
        <v>79</v>
      </c>
      <c r="E75" s="27" t="s">
        <v>382</v>
      </c>
      <c r="F75" s="29">
        <v>4.0000000000000001E-3</v>
      </c>
      <c r="G75" s="30">
        <v>36316569.909999996</v>
      </c>
      <c r="H75" s="31">
        <v>228593</v>
      </c>
      <c r="I75" s="27" t="s">
        <v>383</v>
      </c>
      <c r="J75" s="27" t="s">
        <v>29</v>
      </c>
      <c r="K75" s="28">
        <f t="shared" si="3"/>
        <v>0.83479999999999988</v>
      </c>
      <c r="L75">
        <v>74</v>
      </c>
    </row>
    <row r="76" spans="1:12" ht="18">
      <c r="A76" s="27" t="s">
        <v>384</v>
      </c>
      <c r="B76" s="27" t="s">
        <v>385</v>
      </c>
      <c r="C76" s="27" t="s">
        <v>124</v>
      </c>
      <c r="D76" s="27" t="s">
        <v>79</v>
      </c>
      <c r="E76" s="27" t="s">
        <v>386</v>
      </c>
      <c r="F76" s="29">
        <v>3.8999999999999998E-3</v>
      </c>
      <c r="G76" s="30">
        <v>35395949.130000003</v>
      </c>
      <c r="H76" s="31">
        <v>283417</v>
      </c>
      <c r="I76" s="27" t="s">
        <v>387</v>
      </c>
      <c r="J76" s="27" t="s">
        <v>29</v>
      </c>
      <c r="K76" s="28">
        <f t="shared" si="3"/>
        <v>0.83869999999999989</v>
      </c>
      <c r="L76">
        <v>75</v>
      </c>
    </row>
    <row r="77" spans="1:12" ht="18">
      <c r="A77" s="27" t="s">
        <v>388</v>
      </c>
      <c r="B77" s="27" t="s">
        <v>389</v>
      </c>
      <c r="C77" s="27" t="s">
        <v>124</v>
      </c>
      <c r="D77" s="27" t="s">
        <v>79</v>
      </c>
      <c r="E77" s="27" t="s">
        <v>390</v>
      </c>
      <c r="F77" s="29">
        <v>3.8E-3</v>
      </c>
      <c r="G77" s="30">
        <v>35278357.219999999</v>
      </c>
      <c r="H77" s="31">
        <v>722621</v>
      </c>
      <c r="I77" s="27" t="s">
        <v>391</v>
      </c>
      <c r="J77" s="27" t="s">
        <v>29</v>
      </c>
      <c r="K77" s="28">
        <f t="shared" si="3"/>
        <v>0.84249999999999992</v>
      </c>
      <c r="L77">
        <v>76</v>
      </c>
    </row>
    <row r="78" spans="1:12" ht="18">
      <c r="A78" s="27" t="s">
        <v>392</v>
      </c>
      <c r="B78" s="27" t="s">
        <v>393</v>
      </c>
      <c r="C78" s="27" t="s">
        <v>93</v>
      </c>
      <c r="D78" s="27" t="s">
        <v>79</v>
      </c>
      <c r="E78" s="27" t="s">
        <v>394</v>
      </c>
      <c r="F78" s="29">
        <v>3.8E-3</v>
      </c>
      <c r="G78" s="30">
        <v>34953536.850000001</v>
      </c>
      <c r="H78" s="31">
        <v>979365</v>
      </c>
      <c r="I78" s="27" t="s">
        <v>395</v>
      </c>
      <c r="J78" s="27" t="s">
        <v>29</v>
      </c>
      <c r="K78" s="28">
        <f t="shared" si="3"/>
        <v>0.84629999999999994</v>
      </c>
      <c r="L78">
        <v>77</v>
      </c>
    </row>
    <row r="79" spans="1:12" ht="18">
      <c r="A79" s="27" t="s">
        <v>396</v>
      </c>
      <c r="B79" s="27" t="s">
        <v>397</v>
      </c>
      <c r="C79" s="27" t="s">
        <v>146</v>
      </c>
      <c r="D79" s="27" t="s">
        <v>79</v>
      </c>
      <c r="E79" s="27" t="s">
        <v>398</v>
      </c>
      <c r="F79" s="29">
        <v>3.8E-3</v>
      </c>
      <c r="G79" s="30">
        <v>34780690.100000001</v>
      </c>
      <c r="H79" s="31">
        <v>403910</v>
      </c>
      <c r="I79" s="27" t="s">
        <v>399</v>
      </c>
      <c r="J79" s="27" t="s">
        <v>29</v>
      </c>
      <c r="K79" s="28">
        <f t="shared" si="3"/>
        <v>0.85009999999999997</v>
      </c>
      <c r="L79">
        <v>78</v>
      </c>
    </row>
    <row r="80" spans="1:12" ht="18">
      <c r="A80" s="27" t="s">
        <v>400</v>
      </c>
      <c r="B80" s="27" t="s">
        <v>401</v>
      </c>
      <c r="C80" s="27" t="s">
        <v>84</v>
      </c>
      <c r="D80" s="27" t="s">
        <v>79</v>
      </c>
      <c r="E80" s="27" t="s">
        <v>402</v>
      </c>
      <c r="F80" s="29">
        <v>3.8E-3</v>
      </c>
      <c r="G80" s="30">
        <v>34599912.899999999</v>
      </c>
      <c r="H80" s="31">
        <v>340718</v>
      </c>
      <c r="I80" s="27" t="s">
        <v>403</v>
      </c>
      <c r="J80" s="27" t="s">
        <v>29</v>
      </c>
      <c r="K80" s="28">
        <f t="shared" si="3"/>
        <v>0.85389999999999999</v>
      </c>
      <c r="L80">
        <v>79</v>
      </c>
    </row>
    <row r="81" spans="1:12" ht="18">
      <c r="A81" s="27" t="s">
        <v>404</v>
      </c>
      <c r="B81" s="27" t="s">
        <v>405</v>
      </c>
      <c r="C81" s="27" t="s">
        <v>124</v>
      </c>
      <c r="D81" s="27" t="s">
        <v>79</v>
      </c>
      <c r="E81" s="27" t="s">
        <v>406</v>
      </c>
      <c r="F81" s="29">
        <v>3.8E-3</v>
      </c>
      <c r="G81" s="30">
        <v>34527318.240000002</v>
      </c>
      <c r="H81" s="31">
        <v>88026</v>
      </c>
      <c r="I81" s="27" t="s">
        <v>407</v>
      </c>
      <c r="J81" s="27" t="s">
        <v>29</v>
      </c>
      <c r="K81" s="28">
        <f t="shared" si="3"/>
        <v>0.85770000000000002</v>
      </c>
      <c r="L81">
        <v>80</v>
      </c>
    </row>
    <row r="82" spans="1:12" ht="18">
      <c r="A82" s="27" t="s">
        <v>408</v>
      </c>
      <c r="B82" s="27" t="s">
        <v>409</v>
      </c>
      <c r="C82" s="27" t="s">
        <v>133</v>
      </c>
      <c r="D82" s="27" t="s">
        <v>79</v>
      </c>
      <c r="E82" s="27" t="s">
        <v>410</v>
      </c>
      <c r="F82" s="29">
        <v>3.7000000000000002E-3</v>
      </c>
      <c r="G82" s="30">
        <v>34382476.729999997</v>
      </c>
      <c r="H82" s="31">
        <v>290123</v>
      </c>
      <c r="I82" s="27" t="s">
        <v>411</v>
      </c>
      <c r="J82" s="27" t="s">
        <v>29</v>
      </c>
      <c r="K82" s="28">
        <f t="shared" si="3"/>
        <v>0.86140000000000005</v>
      </c>
      <c r="L82">
        <v>81</v>
      </c>
    </row>
    <row r="83" spans="1:12" ht="18">
      <c r="A83" s="27" t="s">
        <v>412</v>
      </c>
      <c r="B83" s="27" t="s">
        <v>413</v>
      </c>
      <c r="C83" s="27" t="s">
        <v>124</v>
      </c>
      <c r="D83" s="27" t="s">
        <v>79</v>
      </c>
      <c r="E83" s="27" t="s">
        <v>414</v>
      </c>
      <c r="F83" s="29">
        <v>3.5999999999999999E-3</v>
      </c>
      <c r="G83" s="30">
        <v>33046875.82</v>
      </c>
      <c r="H83" s="31">
        <v>57587</v>
      </c>
      <c r="I83" s="27" t="s">
        <v>415</v>
      </c>
      <c r="J83" s="27" t="s">
        <v>29</v>
      </c>
      <c r="K83" s="28">
        <f t="shared" si="3"/>
        <v>0.8650000000000001</v>
      </c>
      <c r="L83">
        <v>82</v>
      </c>
    </row>
    <row r="84" spans="1:12" ht="18">
      <c r="A84" s="27" t="s">
        <v>416</v>
      </c>
      <c r="B84" s="27" t="s">
        <v>417</v>
      </c>
      <c r="C84" s="27" t="s">
        <v>119</v>
      </c>
      <c r="D84" s="27" t="s">
        <v>79</v>
      </c>
      <c r="E84" s="27" t="s">
        <v>418</v>
      </c>
      <c r="F84" s="29">
        <v>3.5000000000000001E-3</v>
      </c>
      <c r="G84" s="30">
        <v>32113782.960000001</v>
      </c>
      <c r="H84" s="31">
        <v>195482</v>
      </c>
      <c r="I84" s="27" t="s">
        <v>419</v>
      </c>
      <c r="J84" s="27" t="s">
        <v>29</v>
      </c>
      <c r="K84" s="28">
        <f t="shared" si="3"/>
        <v>0.86850000000000005</v>
      </c>
      <c r="L84">
        <v>83</v>
      </c>
    </row>
    <row r="85" spans="1:12" ht="18">
      <c r="A85" s="27" t="s">
        <v>420</v>
      </c>
      <c r="B85" s="27" t="s">
        <v>421</v>
      </c>
      <c r="C85" s="27" t="s">
        <v>84</v>
      </c>
      <c r="D85" s="27" t="s">
        <v>79</v>
      </c>
      <c r="E85" s="27" t="s">
        <v>422</v>
      </c>
      <c r="F85" s="29">
        <v>3.3999999999999998E-3</v>
      </c>
      <c r="G85" s="30">
        <v>30863721.82</v>
      </c>
      <c r="H85" s="31">
        <v>139598</v>
      </c>
      <c r="I85" s="27" t="s">
        <v>423</v>
      </c>
      <c r="J85" s="27" t="s">
        <v>29</v>
      </c>
      <c r="K85" s="28">
        <f t="shared" si="3"/>
        <v>0.87190000000000001</v>
      </c>
      <c r="L85">
        <v>84</v>
      </c>
    </row>
    <row r="86" spans="1:12" ht="18">
      <c r="A86" s="27" t="s">
        <v>424</v>
      </c>
      <c r="B86" s="27" t="s">
        <v>425</v>
      </c>
      <c r="C86" s="27" t="s">
        <v>124</v>
      </c>
      <c r="D86" s="27" t="s">
        <v>79</v>
      </c>
      <c r="E86" s="27" t="s">
        <v>426</v>
      </c>
      <c r="F86" s="29">
        <v>3.2000000000000002E-3</v>
      </c>
      <c r="G86" s="30">
        <v>29164200.670000002</v>
      </c>
      <c r="H86" s="31">
        <v>506939</v>
      </c>
      <c r="I86" s="27" t="s">
        <v>427</v>
      </c>
      <c r="J86" s="27" t="s">
        <v>29</v>
      </c>
      <c r="K86" s="28">
        <f t="shared" si="3"/>
        <v>0.87509999999999999</v>
      </c>
      <c r="L86">
        <v>85</v>
      </c>
    </row>
    <row r="87" spans="1:12" ht="18">
      <c r="A87" s="27" t="s">
        <v>428</v>
      </c>
      <c r="B87" s="27" t="s">
        <v>429</v>
      </c>
      <c r="C87" s="27" t="s">
        <v>119</v>
      </c>
      <c r="D87" s="27" t="s">
        <v>79</v>
      </c>
      <c r="E87" s="27" t="s">
        <v>430</v>
      </c>
      <c r="F87" s="29">
        <v>3.0999999999999999E-3</v>
      </c>
      <c r="G87" s="30">
        <v>28612127.41</v>
      </c>
      <c r="H87" s="31">
        <v>113671</v>
      </c>
      <c r="I87" s="27" t="s">
        <v>431</v>
      </c>
      <c r="J87" s="27" t="s">
        <v>29</v>
      </c>
      <c r="K87" s="28">
        <f t="shared" si="3"/>
        <v>0.87819999999999998</v>
      </c>
      <c r="L87">
        <v>86</v>
      </c>
    </row>
    <row r="88" spans="1:12" ht="18">
      <c r="A88" s="27" t="s">
        <v>432</v>
      </c>
      <c r="B88" s="27" t="s">
        <v>433</v>
      </c>
      <c r="C88" s="27" t="s">
        <v>119</v>
      </c>
      <c r="D88" s="27" t="s">
        <v>79</v>
      </c>
      <c r="E88" s="27" t="s">
        <v>434</v>
      </c>
      <c r="F88" s="29">
        <v>2.8999999999999998E-3</v>
      </c>
      <c r="G88" s="30">
        <v>26708785.350000001</v>
      </c>
      <c r="H88" s="31">
        <v>87315</v>
      </c>
      <c r="I88" s="27" t="s">
        <v>435</v>
      </c>
      <c r="J88" s="27" t="s">
        <v>29</v>
      </c>
      <c r="K88" s="28">
        <f t="shared" si="3"/>
        <v>0.88109999999999999</v>
      </c>
      <c r="L88">
        <v>87</v>
      </c>
    </row>
    <row r="89" spans="1:12" ht="18">
      <c r="A89" s="27" t="s">
        <v>436</v>
      </c>
      <c r="B89" s="27" t="s">
        <v>437</v>
      </c>
      <c r="C89" s="27" t="s">
        <v>124</v>
      </c>
      <c r="D89" s="27" t="s">
        <v>79</v>
      </c>
      <c r="E89" s="27" t="s">
        <v>438</v>
      </c>
      <c r="F89" s="29">
        <v>2.8999999999999998E-3</v>
      </c>
      <c r="G89" s="30">
        <v>26702824.5</v>
      </c>
      <c r="H89" s="31">
        <v>179817</v>
      </c>
      <c r="I89" s="27" t="s">
        <v>439</v>
      </c>
      <c r="J89" s="27" t="s">
        <v>29</v>
      </c>
      <c r="K89" s="28">
        <f t="shared" si="3"/>
        <v>0.88400000000000001</v>
      </c>
      <c r="L89">
        <v>88</v>
      </c>
    </row>
    <row r="90" spans="1:12" ht="18">
      <c r="A90" s="27" t="s">
        <v>440</v>
      </c>
      <c r="B90" s="27" t="s">
        <v>441</v>
      </c>
      <c r="C90" s="27" t="s">
        <v>124</v>
      </c>
      <c r="D90" s="27" t="s">
        <v>79</v>
      </c>
      <c r="E90" s="27" t="s">
        <v>442</v>
      </c>
      <c r="F90" s="29">
        <v>2.8999999999999998E-3</v>
      </c>
      <c r="G90" s="30">
        <v>26485346.579999998</v>
      </c>
      <c r="H90" s="31">
        <v>226506</v>
      </c>
      <c r="I90" s="27" t="s">
        <v>443</v>
      </c>
      <c r="J90" s="27" t="s">
        <v>29</v>
      </c>
      <c r="K90" s="28">
        <f t="shared" si="3"/>
        <v>0.88690000000000002</v>
      </c>
      <c r="L90">
        <v>89</v>
      </c>
    </row>
    <row r="91" spans="1:12" ht="18">
      <c r="A91" s="27" t="s">
        <v>444</v>
      </c>
      <c r="B91" s="27" t="s">
        <v>445</v>
      </c>
      <c r="C91" s="27" t="s">
        <v>133</v>
      </c>
      <c r="D91" s="27" t="s">
        <v>79</v>
      </c>
      <c r="E91" s="27" t="s">
        <v>446</v>
      </c>
      <c r="F91" s="29">
        <v>2.8999999999999998E-3</v>
      </c>
      <c r="G91" s="30">
        <v>26433204.66</v>
      </c>
      <c r="H91" s="31">
        <v>1812977</v>
      </c>
      <c r="I91" s="27" t="s">
        <v>447</v>
      </c>
      <c r="J91" s="27" t="s">
        <v>29</v>
      </c>
      <c r="K91" s="28">
        <f t="shared" si="3"/>
        <v>0.88980000000000004</v>
      </c>
      <c r="L91">
        <v>90</v>
      </c>
    </row>
    <row r="92" spans="1:12" ht="18">
      <c r="A92" s="27" t="s">
        <v>448</v>
      </c>
      <c r="B92" s="27" t="s">
        <v>449</v>
      </c>
      <c r="C92" s="27" t="s">
        <v>133</v>
      </c>
      <c r="D92" s="27" t="s">
        <v>79</v>
      </c>
      <c r="E92" s="27" t="s">
        <v>450</v>
      </c>
      <c r="F92" s="29">
        <v>2.8999999999999998E-3</v>
      </c>
      <c r="G92" s="30">
        <v>26347197.629999999</v>
      </c>
      <c r="H92" s="31">
        <v>1174641</v>
      </c>
      <c r="I92" s="27" t="s">
        <v>451</v>
      </c>
      <c r="J92" s="27" t="s">
        <v>29</v>
      </c>
      <c r="K92" s="28">
        <f t="shared" si="3"/>
        <v>0.89270000000000005</v>
      </c>
      <c r="L92">
        <v>91</v>
      </c>
    </row>
    <row r="93" spans="1:12" ht="18">
      <c r="A93" s="27" t="s">
        <v>452</v>
      </c>
      <c r="B93" s="27" t="s">
        <v>453</v>
      </c>
      <c r="C93" s="27" t="s">
        <v>119</v>
      </c>
      <c r="D93" s="27" t="s">
        <v>79</v>
      </c>
      <c r="E93" s="27" t="s">
        <v>454</v>
      </c>
      <c r="F93" s="29">
        <v>2.8999999999999998E-3</v>
      </c>
      <c r="G93" s="30">
        <v>26334585.82</v>
      </c>
      <c r="H93" s="31">
        <v>342586</v>
      </c>
      <c r="I93" s="27" t="s">
        <v>455</v>
      </c>
      <c r="J93" s="27" t="s">
        <v>29</v>
      </c>
      <c r="K93" s="28">
        <f t="shared" si="3"/>
        <v>0.89560000000000006</v>
      </c>
      <c r="L93">
        <v>92</v>
      </c>
    </row>
    <row r="94" spans="1:12" ht="18">
      <c r="A94" s="27" t="s">
        <v>456</v>
      </c>
      <c r="B94" s="27" t="s">
        <v>457</v>
      </c>
      <c r="C94" s="27" t="s">
        <v>124</v>
      </c>
      <c r="D94" s="27" t="s">
        <v>79</v>
      </c>
      <c r="E94" s="27" t="s">
        <v>458</v>
      </c>
      <c r="F94" s="29">
        <v>2.8E-3</v>
      </c>
      <c r="G94" s="30">
        <v>26064416.460000001</v>
      </c>
      <c r="H94" s="31">
        <v>180514</v>
      </c>
      <c r="I94" s="27" t="s">
        <v>459</v>
      </c>
      <c r="J94" s="27" t="s">
        <v>29</v>
      </c>
      <c r="K94" s="28">
        <f t="shared" si="3"/>
        <v>0.89840000000000009</v>
      </c>
      <c r="L94">
        <v>93</v>
      </c>
    </row>
    <row r="95" spans="1:12" ht="18">
      <c r="A95" s="27" t="s">
        <v>460</v>
      </c>
      <c r="B95" s="27" t="s">
        <v>461</v>
      </c>
      <c r="C95" s="27" t="s">
        <v>264</v>
      </c>
      <c r="D95" s="27" t="s">
        <v>79</v>
      </c>
      <c r="E95" s="27" t="s">
        <v>462</v>
      </c>
      <c r="F95" s="29">
        <v>2.8E-3</v>
      </c>
      <c r="G95" s="30">
        <v>25600754.239999998</v>
      </c>
      <c r="H95" s="31">
        <v>229562</v>
      </c>
      <c r="I95" s="27" t="s">
        <v>463</v>
      </c>
      <c r="J95" s="27" t="s">
        <v>29</v>
      </c>
      <c r="K95" s="28">
        <f t="shared" si="3"/>
        <v>0.90120000000000011</v>
      </c>
      <c r="L95">
        <v>94</v>
      </c>
    </row>
    <row r="96" spans="1:12" ht="18">
      <c r="A96" s="27" t="s">
        <v>464</v>
      </c>
      <c r="B96" s="27" t="s">
        <v>465</v>
      </c>
      <c r="C96" s="27" t="s">
        <v>93</v>
      </c>
      <c r="D96" s="27" t="s">
        <v>79</v>
      </c>
      <c r="E96" s="27" t="s">
        <v>466</v>
      </c>
      <c r="F96" s="29">
        <v>2.8E-3</v>
      </c>
      <c r="G96" s="30">
        <v>25539282.100000001</v>
      </c>
      <c r="H96" s="31">
        <v>314911</v>
      </c>
      <c r="I96" s="27" t="s">
        <v>467</v>
      </c>
      <c r="J96" s="27" t="s">
        <v>29</v>
      </c>
      <c r="K96" s="28">
        <f t="shared" si="3"/>
        <v>0.90400000000000014</v>
      </c>
      <c r="L96">
        <v>95</v>
      </c>
    </row>
    <row r="97" spans="1:12" ht="18">
      <c r="A97" s="27" t="s">
        <v>468</v>
      </c>
      <c r="B97" s="27" t="s">
        <v>469</v>
      </c>
      <c r="C97" s="27" t="s">
        <v>119</v>
      </c>
      <c r="D97" s="27" t="s">
        <v>79</v>
      </c>
      <c r="E97" s="27" t="s">
        <v>470</v>
      </c>
      <c r="F97" s="29">
        <v>2.8E-3</v>
      </c>
      <c r="G97" s="30">
        <v>25530350.440000001</v>
      </c>
      <c r="H97" s="31">
        <v>75293</v>
      </c>
      <c r="I97" s="27" t="s">
        <v>471</v>
      </c>
      <c r="J97" s="27" t="s">
        <v>29</v>
      </c>
      <c r="K97" s="28">
        <f t="shared" si="3"/>
        <v>0.90680000000000016</v>
      </c>
      <c r="L97">
        <v>96</v>
      </c>
    </row>
    <row r="98" spans="1:12" ht="18">
      <c r="A98" s="27" t="s">
        <v>472</v>
      </c>
      <c r="B98" s="27" t="s">
        <v>473</v>
      </c>
      <c r="C98" s="27" t="s">
        <v>119</v>
      </c>
      <c r="D98" s="27" t="s">
        <v>79</v>
      </c>
      <c r="E98" s="27" t="s">
        <v>474</v>
      </c>
      <c r="F98" s="29">
        <v>2.8E-3</v>
      </c>
      <c r="G98" s="30">
        <v>25409111.07</v>
      </c>
      <c r="H98" s="31">
        <v>125769</v>
      </c>
      <c r="I98" s="27" t="s">
        <v>475</v>
      </c>
      <c r="J98" s="27" t="s">
        <v>29</v>
      </c>
      <c r="K98" s="28">
        <f t="shared" si="3"/>
        <v>0.90960000000000019</v>
      </c>
      <c r="L98">
        <v>97</v>
      </c>
    </row>
    <row r="99" spans="1:12" ht="18">
      <c r="A99" s="27" t="s">
        <v>476</v>
      </c>
      <c r="B99" s="27" t="s">
        <v>477</v>
      </c>
      <c r="C99" s="27" t="s">
        <v>119</v>
      </c>
      <c r="D99" s="27" t="s">
        <v>79</v>
      </c>
      <c r="E99" s="27" t="s">
        <v>478</v>
      </c>
      <c r="F99" s="29">
        <v>2.7000000000000001E-3</v>
      </c>
      <c r="G99" s="30">
        <v>25094785.949999999</v>
      </c>
      <c r="H99" s="31">
        <v>313881</v>
      </c>
      <c r="I99" s="27" t="s">
        <v>479</v>
      </c>
      <c r="J99" s="27" t="s">
        <v>29</v>
      </c>
      <c r="K99" s="28">
        <f t="shared" si="3"/>
        <v>0.91230000000000022</v>
      </c>
      <c r="L99">
        <v>98</v>
      </c>
    </row>
    <row r="100" spans="1:12" ht="18">
      <c r="A100" s="27" t="s">
        <v>480</v>
      </c>
      <c r="B100" s="27" t="s">
        <v>481</v>
      </c>
      <c r="C100" s="27" t="s">
        <v>146</v>
      </c>
      <c r="D100" s="27" t="s">
        <v>79</v>
      </c>
      <c r="E100" s="27" t="s">
        <v>482</v>
      </c>
      <c r="F100" s="29">
        <v>2.7000000000000001E-3</v>
      </c>
      <c r="G100" s="30">
        <v>24619238.640000001</v>
      </c>
      <c r="H100" s="31">
        <v>502536</v>
      </c>
      <c r="I100" s="27" t="s">
        <v>483</v>
      </c>
      <c r="J100" s="27" t="s">
        <v>29</v>
      </c>
      <c r="K100" s="28">
        <f t="shared" si="3"/>
        <v>0.91500000000000026</v>
      </c>
      <c r="L100">
        <v>99</v>
      </c>
    </row>
    <row r="101" spans="1:12" ht="18">
      <c r="A101" s="27" t="s">
        <v>484</v>
      </c>
      <c r="B101" s="27" t="s">
        <v>485</v>
      </c>
      <c r="C101" s="27" t="s">
        <v>133</v>
      </c>
      <c r="D101" s="27" t="s">
        <v>79</v>
      </c>
      <c r="E101" s="27" t="s">
        <v>486</v>
      </c>
      <c r="F101" s="29">
        <v>2.7000000000000001E-3</v>
      </c>
      <c r="G101" s="30">
        <v>24446006.199999999</v>
      </c>
      <c r="H101" s="31">
        <v>248941</v>
      </c>
      <c r="I101" s="27" t="s">
        <v>487</v>
      </c>
      <c r="J101" s="27" t="s">
        <v>29</v>
      </c>
      <c r="K101" s="28">
        <f t="shared" si="3"/>
        <v>0.91770000000000029</v>
      </c>
      <c r="L101">
        <v>100</v>
      </c>
    </row>
    <row r="102" spans="1:12" ht="18">
      <c r="A102" s="27" t="s">
        <v>488</v>
      </c>
      <c r="B102" s="27" t="s">
        <v>489</v>
      </c>
      <c r="C102" s="27" t="s">
        <v>93</v>
      </c>
      <c r="D102" s="27" t="s">
        <v>79</v>
      </c>
      <c r="E102" s="27" t="s">
        <v>490</v>
      </c>
      <c r="F102" s="29">
        <v>2.5999999999999999E-3</v>
      </c>
      <c r="G102" s="30">
        <v>24116295.969999999</v>
      </c>
      <c r="H102" s="31">
        <v>604267</v>
      </c>
      <c r="I102" s="27" t="s">
        <v>491</v>
      </c>
      <c r="J102" s="27" t="s">
        <v>29</v>
      </c>
      <c r="K102" s="28">
        <f t="shared" si="3"/>
        <v>0.92030000000000034</v>
      </c>
      <c r="L102">
        <v>101</v>
      </c>
    </row>
    <row r="103" spans="1:12" ht="18">
      <c r="A103" s="27" t="s">
        <v>492</v>
      </c>
      <c r="B103" s="27" t="s">
        <v>493</v>
      </c>
      <c r="C103" s="27" t="s">
        <v>119</v>
      </c>
      <c r="D103" s="27" t="s">
        <v>79</v>
      </c>
      <c r="E103" s="27" t="s">
        <v>494</v>
      </c>
      <c r="F103" s="29">
        <v>2.5000000000000001E-3</v>
      </c>
      <c r="G103" s="30">
        <v>23361980.899999999</v>
      </c>
      <c r="H103" s="31">
        <v>93187</v>
      </c>
      <c r="I103" s="27" t="s">
        <v>495</v>
      </c>
      <c r="J103" s="27" t="s">
        <v>29</v>
      </c>
      <c r="K103" s="28">
        <f t="shared" si="3"/>
        <v>0.92280000000000029</v>
      </c>
      <c r="L103">
        <v>102</v>
      </c>
    </row>
    <row r="104" spans="1:12" ht="18">
      <c r="A104" s="27" t="s">
        <v>496</v>
      </c>
      <c r="B104" s="27" t="s">
        <v>497</v>
      </c>
      <c r="C104" s="27" t="s">
        <v>124</v>
      </c>
      <c r="D104" s="27" t="s">
        <v>79</v>
      </c>
      <c r="E104" s="27" t="s">
        <v>498</v>
      </c>
      <c r="F104" s="29">
        <v>2.5000000000000001E-3</v>
      </c>
      <c r="G104" s="30">
        <v>22692155.399999999</v>
      </c>
      <c r="H104" s="31">
        <v>94986</v>
      </c>
      <c r="I104" s="27" t="s">
        <v>499</v>
      </c>
      <c r="J104" s="27" t="s">
        <v>29</v>
      </c>
      <c r="K104" s="28">
        <f t="shared" si="3"/>
        <v>0.92530000000000023</v>
      </c>
      <c r="L104">
        <v>103</v>
      </c>
    </row>
    <row r="105" spans="1:12" ht="18">
      <c r="A105" s="27" t="s">
        <v>500</v>
      </c>
      <c r="B105" s="27" t="s">
        <v>501</v>
      </c>
      <c r="C105" s="27" t="s">
        <v>93</v>
      </c>
      <c r="D105" s="27" t="s">
        <v>79</v>
      </c>
      <c r="E105" s="27" t="s">
        <v>502</v>
      </c>
      <c r="F105" s="29">
        <v>2.5000000000000001E-3</v>
      </c>
      <c r="G105" s="30">
        <v>22630685.68</v>
      </c>
      <c r="H105" s="31">
        <v>154888</v>
      </c>
      <c r="I105" s="27" t="s">
        <v>503</v>
      </c>
      <c r="J105" s="27" t="s">
        <v>29</v>
      </c>
      <c r="K105" s="28">
        <f t="shared" si="3"/>
        <v>0.92780000000000018</v>
      </c>
      <c r="L105">
        <v>104</v>
      </c>
    </row>
    <row r="106" spans="1:12" ht="18">
      <c r="A106" s="27" t="s">
        <v>504</v>
      </c>
      <c r="B106" s="27" t="s">
        <v>505</v>
      </c>
      <c r="C106" s="27" t="s">
        <v>264</v>
      </c>
      <c r="D106" s="27" t="s">
        <v>79</v>
      </c>
      <c r="E106" s="27" t="s">
        <v>506</v>
      </c>
      <c r="F106" s="29">
        <v>2.5000000000000001E-3</v>
      </c>
      <c r="G106" s="30">
        <v>22573138.559999999</v>
      </c>
      <c r="H106" s="31">
        <v>395188</v>
      </c>
      <c r="I106" s="27" t="s">
        <v>507</v>
      </c>
      <c r="J106" s="27" t="s">
        <v>29</v>
      </c>
      <c r="K106" s="28">
        <f t="shared" si="3"/>
        <v>0.93030000000000013</v>
      </c>
      <c r="L106">
        <v>105</v>
      </c>
    </row>
    <row r="107" spans="1:12" ht="18">
      <c r="A107" s="27" t="s">
        <v>508</v>
      </c>
      <c r="B107" s="27" t="s">
        <v>509</v>
      </c>
      <c r="C107" s="27" t="s">
        <v>106</v>
      </c>
      <c r="D107" s="27" t="s">
        <v>79</v>
      </c>
      <c r="E107" s="27" t="s">
        <v>510</v>
      </c>
      <c r="F107" s="29">
        <v>2.3999999999999998E-3</v>
      </c>
      <c r="G107" s="30">
        <v>22456674.359999999</v>
      </c>
      <c r="H107" s="31">
        <v>213812</v>
      </c>
      <c r="I107" s="27" t="s">
        <v>511</v>
      </c>
      <c r="J107" s="27" t="s">
        <v>29</v>
      </c>
      <c r="K107" s="28">
        <f t="shared" si="3"/>
        <v>0.93270000000000008</v>
      </c>
      <c r="L107">
        <v>106</v>
      </c>
    </row>
    <row r="108" spans="1:12" ht="18">
      <c r="A108" s="27" t="s">
        <v>512</v>
      </c>
      <c r="B108" s="27" t="s">
        <v>513</v>
      </c>
      <c r="C108" s="27" t="s">
        <v>93</v>
      </c>
      <c r="D108" s="27" t="s">
        <v>79</v>
      </c>
      <c r="E108" s="27" t="s">
        <v>514</v>
      </c>
      <c r="F108" s="29">
        <v>2.3999999999999998E-3</v>
      </c>
      <c r="G108" s="30">
        <v>22445990</v>
      </c>
      <c r="H108" s="31">
        <v>320657</v>
      </c>
      <c r="I108" s="27" t="s">
        <v>515</v>
      </c>
      <c r="J108" s="27" t="s">
        <v>29</v>
      </c>
      <c r="K108" s="28">
        <f t="shared" si="3"/>
        <v>0.93510000000000004</v>
      </c>
      <c r="L108">
        <v>107</v>
      </c>
    </row>
    <row r="109" spans="1:12" ht="18">
      <c r="A109" s="27" t="s">
        <v>516</v>
      </c>
      <c r="B109" s="27" t="s">
        <v>517</v>
      </c>
      <c r="C109" s="27" t="s">
        <v>124</v>
      </c>
      <c r="D109" s="27" t="s">
        <v>79</v>
      </c>
      <c r="E109" s="27" t="s">
        <v>518</v>
      </c>
      <c r="F109" s="29">
        <v>2.3999999999999998E-3</v>
      </c>
      <c r="G109" s="30">
        <v>22402229.920000002</v>
      </c>
      <c r="H109" s="31">
        <v>205676</v>
      </c>
      <c r="I109" s="27" t="s">
        <v>519</v>
      </c>
      <c r="J109" s="27" t="s">
        <v>29</v>
      </c>
      <c r="K109" s="28">
        <f t="shared" si="3"/>
        <v>0.9375</v>
      </c>
      <c r="L109">
        <v>108</v>
      </c>
    </row>
    <row r="110" spans="1:12" ht="18">
      <c r="A110" s="27" t="s">
        <v>520</v>
      </c>
      <c r="B110" s="27" t="s">
        <v>521</v>
      </c>
      <c r="C110" s="27" t="s">
        <v>84</v>
      </c>
      <c r="D110" s="27" t="s">
        <v>79</v>
      </c>
      <c r="E110" s="27" t="s">
        <v>522</v>
      </c>
      <c r="F110" s="29">
        <v>2.3999999999999998E-3</v>
      </c>
      <c r="G110" s="30">
        <v>21855285.739999998</v>
      </c>
      <c r="H110" s="31">
        <v>254783</v>
      </c>
      <c r="I110" s="27" t="s">
        <v>523</v>
      </c>
      <c r="J110" s="27" t="s">
        <v>29</v>
      </c>
      <c r="K110" s="28">
        <f t="shared" si="3"/>
        <v>0.93989999999999996</v>
      </c>
      <c r="L110">
        <v>109</v>
      </c>
    </row>
    <row r="111" spans="1:12" ht="18">
      <c r="A111" s="27" t="s">
        <v>524</v>
      </c>
      <c r="B111" s="27" t="s">
        <v>525</v>
      </c>
      <c r="C111" s="27" t="s">
        <v>119</v>
      </c>
      <c r="D111" s="27" t="s">
        <v>79</v>
      </c>
      <c r="E111" s="27" t="s">
        <v>526</v>
      </c>
      <c r="F111" s="29">
        <v>2.3999999999999998E-3</v>
      </c>
      <c r="G111" s="30">
        <v>21689779.280000001</v>
      </c>
      <c r="H111" s="31">
        <v>146612</v>
      </c>
      <c r="I111" s="27" t="s">
        <v>527</v>
      </c>
      <c r="J111" s="27" t="s">
        <v>29</v>
      </c>
      <c r="K111" s="28">
        <f t="shared" si="3"/>
        <v>0.94229999999999992</v>
      </c>
      <c r="L111">
        <v>110</v>
      </c>
    </row>
    <row r="112" spans="1:12" ht="18">
      <c r="A112" s="27" t="s">
        <v>528</v>
      </c>
      <c r="B112" s="27" t="s">
        <v>529</v>
      </c>
      <c r="C112" s="27" t="s">
        <v>337</v>
      </c>
      <c r="D112" s="27" t="s">
        <v>79</v>
      </c>
      <c r="E112" s="27" t="s">
        <v>530</v>
      </c>
      <c r="F112" s="29">
        <v>2.2000000000000001E-3</v>
      </c>
      <c r="G112" s="30">
        <v>20188847.219999999</v>
      </c>
      <c r="H112" s="31">
        <v>175953</v>
      </c>
      <c r="I112" s="27" t="s">
        <v>531</v>
      </c>
      <c r="J112" s="27" t="s">
        <v>29</v>
      </c>
      <c r="K112" s="28">
        <f t="shared" si="3"/>
        <v>0.9444999999999999</v>
      </c>
      <c r="L112">
        <v>111</v>
      </c>
    </row>
    <row r="113" spans="1:12" ht="18">
      <c r="A113" s="27" t="s">
        <v>532</v>
      </c>
      <c r="B113" s="27" t="s">
        <v>533</v>
      </c>
      <c r="C113" s="27" t="s">
        <v>133</v>
      </c>
      <c r="D113" s="27" t="s">
        <v>79</v>
      </c>
      <c r="E113" s="27" t="s">
        <v>534</v>
      </c>
      <c r="F113" s="29">
        <v>2.2000000000000001E-3</v>
      </c>
      <c r="G113" s="30">
        <v>20122046.800000001</v>
      </c>
      <c r="H113" s="31">
        <v>47755</v>
      </c>
      <c r="I113" s="27" t="s">
        <v>535</v>
      </c>
      <c r="J113" s="27" t="s">
        <v>29</v>
      </c>
      <c r="K113" s="28">
        <f t="shared" si="3"/>
        <v>0.94669999999999987</v>
      </c>
      <c r="L113">
        <v>112</v>
      </c>
    </row>
    <row r="114" spans="1:12" ht="18">
      <c r="A114" s="27" t="s">
        <v>536</v>
      </c>
      <c r="B114" s="27" t="s">
        <v>537</v>
      </c>
      <c r="C114" s="27" t="s">
        <v>93</v>
      </c>
      <c r="D114" s="27" t="s">
        <v>79</v>
      </c>
      <c r="E114" s="27" t="s">
        <v>538</v>
      </c>
      <c r="F114" s="29">
        <v>2.0999999999999999E-3</v>
      </c>
      <c r="G114" s="30">
        <v>19185140.579999998</v>
      </c>
      <c r="H114" s="31">
        <v>191049</v>
      </c>
      <c r="I114" s="27" t="s">
        <v>539</v>
      </c>
      <c r="J114" s="27" t="s">
        <v>29</v>
      </c>
      <c r="K114" s="28">
        <f t="shared" si="3"/>
        <v>0.94879999999999987</v>
      </c>
      <c r="L114">
        <v>113</v>
      </c>
    </row>
    <row r="115" spans="1:12" ht="18">
      <c r="A115" s="27" t="s">
        <v>540</v>
      </c>
      <c r="B115" s="27" t="s">
        <v>541</v>
      </c>
      <c r="C115" s="27" t="s">
        <v>84</v>
      </c>
      <c r="D115" s="27" t="s">
        <v>79</v>
      </c>
      <c r="E115" s="27" t="s">
        <v>542</v>
      </c>
      <c r="F115" s="29">
        <v>2.0999999999999999E-3</v>
      </c>
      <c r="G115" s="30">
        <v>19176769.920000002</v>
      </c>
      <c r="H115" s="31">
        <v>327696</v>
      </c>
      <c r="I115" s="27" t="s">
        <v>543</v>
      </c>
      <c r="J115" s="27" t="s">
        <v>29</v>
      </c>
      <c r="K115" s="28">
        <f t="shared" si="3"/>
        <v>0.95089999999999986</v>
      </c>
      <c r="L115">
        <v>114</v>
      </c>
    </row>
    <row r="116" spans="1:12" ht="18">
      <c r="A116" s="27" t="s">
        <v>1323</v>
      </c>
      <c r="B116" s="27" t="s">
        <v>545</v>
      </c>
      <c r="C116" s="27" t="s">
        <v>133</v>
      </c>
      <c r="D116" s="27" t="s">
        <v>79</v>
      </c>
      <c r="E116" s="27" t="s">
        <v>546</v>
      </c>
      <c r="F116" s="29">
        <v>2E-3</v>
      </c>
      <c r="G116" s="30">
        <v>18792750.07</v>
      </c>
      <c r="H116" s="31">
        <v>74359</v>
      </c>
      <c r="I116" s="27" t="s">
        <v>547</v>
      </c>
      <c r="J116" s="27" t="s">
        <v>29</v>
      </c>
      <c r="K116" s="28">
        <f t="shared" si="3"/>
        <v>0.95289999999999986</v>
      </c>
      <c r="L116">
        <v>115</v>
      </c>
    </row>
    <row r="117" spans="1:12" ht="18">
      <c r="A117" s="27" t="s">
        <v>548</v>
      </c>
      <c r="B117" s="27" t="s">
        <v>549</v>
      </c>
      <c r="C117" s="27" t="s">
        <v>124</v>
      </c>
      <c r="D117" s="27" t="s">
        <v>79</v>
      </c>
      <c r="E117" s="27" t="s">
        <v>550</v>
      </c>
      <c r="F117" s="29">
        <v>2E-3</v>
      </c>
      <c r="G117" s="30">
        <v>18456859.199999999</v>
      </c>
      <c r="H117" s="31">
        <v>104394</v>
      </c>
      <c r="I117" s="27" t="s">
        <v>551</v>
      </c>
      <c r="J117" s="27" t="s">
        <v>29</v>
      </c>
      <c r="K117" s="28">
        <f t="shared" si="3"/>
        <v>0.95489999999999986</v>
      </c>
      <c r="L117">
        <v>116</v>
      </c>
    </row>
    <row r="118" spans="1:12" ht="18">
      <c r="A118" s="27" t="s">
        <v>552</v>
      </c>
      <c r="B118" s="27" t="s">
        <v>553</v>
      </c>
      <c r="C118" s="27" t="s">
        <v>146</v>
      </c>
      <c r="D118" s="27" t="s">
        <v>79</v>
      </c>
      <c r="E118" s="27" t="s">
        <v>554</v>
      </c>
      <c r="F118" s="29">
        <v>2E-3</v>
      </c>
      <c r="G118" s="30">
        <v>18348772.399999999</v>
      </c>
      <c r="H118" s="31">
        <v>678328</v>
      </c>
      <c r="I118" s="27" t="s">
        <v>555</v>
      </c>
      <c r="J118" s="27" t="s">
        <v>29</v>
      </c>
      <c r="K118" s="28">
        <f t="shared" si="3"/>
        <v>0.95689999999999986</v>
      </c>
      <c r="L118">
        <v>117</v>
      </c>
    </row>
    <row r="119" spans="1:12" ht="18">
      <c r="A119" s="27" t="s">
        <v>29</v>
      </c>
      <c r="B119" s="27" t="s">
        <v>556</v>
      </c>
      <c r="C119" s="27" t="s">
        <v>557</v>
      </c>
      <c r="D119" s="27" t="s">
        <v>558</v>
      </c>
      <c r="E119" s="27" t="s">
        <v>559</v>
      </c>
      <c r="F119" s="29">
        <v>2E-3</v>
      </c>
      <c r="G119" s="30">
        <v>18198240.850000001</v>
      </c>
      <c r="H119" s="31">
        <v>18198241</v>
      </c>
      <c r="I119" s="27" t="s">
        <v>560</v>
      </c>
      <c r="J119" s="27" t="s">
        <v>29</v>
      </c>
      <c r="K119" s="28">
        <f t="shared" si="3"/>
        <v>0.95889999999999986</v>
      </c>
      <c r="L119">
        <v>118</v>
      </c>
    </row>
    <row r="120" spans="1:12" ht="18">
      <c r="A120" s="27" t="s">
        <v>561</v>
      </c>
      <c r="B120" s="27" t="s">
        <v>562</v>
      </c>
      <c r="C120" s="27" t="s">
        <v>106</v>
      </c>
      <c r="D120" s="27" t="s">
        <v>79</v>
      </c>
      <c r="E120" s="27" t="s">
        <v>563</v>
      </c>
      <c r="F120" s="29">
        <v>1.9E-3</v>
      </c>
      <c r="G120" s="30">
        <v>17678870.960000001</v>
      </c>
      <c r="H120" s="31">
        <v>491626</v>
      </c>
      <c r="I120" s="27" t="s">
        <v>564</v>
      </c>
      <c r="J120" s="27" t="s">
        <v>29</v>
      </c>
      <c r="K120" s="28">
        <f t="shared" si="3"/>
        <v>0.96079999999999988</v>
      </c>
      <c r="L120">
        <v>119</v>
      </c>
    </row>
    <row r="121" spans="1:12" ht="18">
      <c r="A121" s="27" t="s">
        <v>565</v>
      </c>
      <c r="B121" s="27" t="s">
        <v>566</v>
      </c>
      <c r="C121" s="27" t="s">
        <v>93</v>
      </c>
      <c r="D121" s="27" t="s">
        <v>79</v>
      </c>
      <c r="E121" s="27" t="s">
        <v>567</v>
      </c>
      <c r="F121" s="29">
        <v>1.9E-3</v>
      </c>
      <c r="G121" s="30">
        <v>17406391.899999999</v>
      </c>
      <c r="H121" s="31">
        <v>377579</v>
      </c>
      <c r="I121" s="27" t="s">
        <v>568</v>
      </c>
      <c r="J121" s="27" t="s">
        <v>29</v>
      </c>
      <c r="K121" s="28">
        <f t="shared" si="3"/>
        <v>0.96269999999999989</v>
      </c>
      <c r="L121">
        <v>120</v>
      </c>
    </row>
    <row r="122" spans="1:12" ht="18">
      <c r="A122" s="27" t="s">
        <v>569</v>
      </c>
      <c r="B122" s="27" t="s">
        <v>570</v>
      </c>
      <c r="C122" s="27" t="s">
        <v>84</v>
      </c>
      <c r="D122" s="27" t="s">
        <v>79</v>
      </c>
      <c r="E122" s="27" t="s">
        <v>571</v>
      </c>
      <c r="F122" s="29">
        <v>1.9E-3</v>
      </c>
      <c r="G122" s="30">
        <v>17395503.789999999</v>
      </c>
      <c r="H122" s="31">
        <v>49831</v>
      </c>
      <c r="I122" s="27" t="s">
        <v>572</v>
      </c>
      <c r="J122" s="27" t="s">
        <v>29</v>
      </c>
      <c r="K122" s="28">
        <f t="shared" si="3"/>
        <v>0.9645999999999999</v>
      </c>
      <c r="L122">
        <v>121</v>
      </c>
    </row>
    <row r="123" spans="1:12" ht="18">
      <c r="A123" s="27" t="s">
        <v>573</v>
      </c>
      <c r="B123" s="27" t="s">
        <v>574</v>
      </c>
      <c r="C123" s="27" t="s">
        <v>264</v>
      </c>
      <c r="D123" s="27" t="s">
        <v>79</v>
      </c>
      <c r="E123" s="27" t="s">
        <v>575</v>
      </c>
      <c r="F123" s="29">
        <v>1.8E-3</v>
      </c>
      <c r="G123" s="30">
        <v>16537425.75</v>
      </c>
      <c r="H123" s="31">
        <v>432351</v>
      </c>
      <c r="I123" s="27" t="s">
        <v>576</v>
      </c>
      <c r="J123" s="27" t="s">
        <v>29</v>
      </c>
      <c r="K123" s="28">
        <f t="shared" si="3"/>
        <v>0.96639999999999993</v>
      </c>
      <c r="L123">
        <v>122</v>
      </c>
    </row>
    <row r="124" spans="1:12" ht="18">
      <c r="A124" s="27" t="s">
        <v>577</v>
      </c>
      <c r="B124" s="27" t="s">
        <v>578</v>
      </c>
      <c r="C124" s="27" t="s">
        <v>133</v>
      </c>
      <c r="D124" s="27" t="s">
        <v>79</v>
      </c>
      <c r="E124" s="27" t="s">
        <v>579</v>
      </c>
      <c r="F124" s="29">
        <v>1.6999999999999999E-3</v>
      </c>
      <c r="G124" s="30">
        <v>15599825.26</v>
      </c>
      <c r="H124" s="31">
        <v>47413</v>
      </c>
      <c r="I124" s="27" t="s">
        <v>580</v>
      </c>
      <c r="J124" s="27" t="s">
        <v>29</v>
      </c>
      <c r="K124" s="28">
        <f t="shared" ref="K124:K156" si="4">F124+K123</f>
        <v>0.96809999999999996</v>
      </c>
      <c r="L124">
        <v>123</v>
      </c>
    </row>
    <row r="125" spans="1:12" ht="18">
      <c r="A125" s="27" t="s">
        <v>581</v>
      </c>
      <c r="B125" s="27" t="s">
        <v>582</v>
      </c>
      <c r="C125" s="27" t="s">
        <v>337</v>
      </c>
      <c r="D125" s="27" t="s">
        <v>79</v>
      </c>
      <c r="E125" s="27" t="s">
        <v>583</v>
      </c>
      <c r="F125" s="29">
        <v>1.6999999999999999E-3</v>
      </c>
      <c r="G125" s="30">
        <v>15276832.060000001</v>
      </c>
      <c r="H125" s="31">
        <v>313114</v>
      </c>
      <c r="I125" s="27" t="s">
        <v>584</v>
      </c>
      <c r="J125" s="27" t="s">
        <v>29</v>
      </c>
      <c r="K125" s="28">
        <f t="shared" si="4"/>
        <v>0.9698</v>
      </c>
      <c r="L125">
        <v>124</v>
      </c>
    </row>
    <row r="126" spans="1:12" ht="18">
      <c r="A126" s="27" t="s">
        <v>585</v>
      </c>
      <c r="B126" s="27" t="s">
        <v>586</v>
      </c>
      <c r="C126" s="27" t="s">
        <v>124</v>
      </c>
      <c r="D126" s="27" t="s">
        <v>79</v>
      </c>
      <c r="E126" s="27" t="s">
        <v>587</v>
      </c>
      <c r="F126" s="29">
        <v>1.6000000000000001E-3</v>
      </c>
      <c r="G126" s="30">
        <v>14583434.279999999</v>
      </c>
      <c r="H126" s="31">
        <v>155756</v>
      </c>
      <c r="I126" s="27" t="s">
        <v>588</v>
      </c>
      <c r="J126" s="27" t="s">
        <v>29</v>
      </c>
      <c r="K126" s="28">
        <f t="shared" si="4"/>
        <v>0.97140000000000004</v>
      </c>
      <c r="L126">
        <v>125</v>
      </c>
    </row>
    <row r="127" spans="1:12" ht="18">
      <c r="A127" s="27" t="s">
        <v>589</v>
      </c>
      <c r="B127" s="27" t="s">
        <v>590</v>
      </c>
      <c r="C127" s="27" t="s">
        <v>119</v>
      </c>
      <c r="D127" s="27" t="s">
        <v>79</v>
      </c>
      <c r="E127" s="27" t="s">
        <v>591</v>
      </c>
      <c r="F127" s="29">
        <v>1.5E-3</v>
      </c>
      <c r="G127" s="30">
        <v>13756209.57</v>
      </c>
      <c r="H127" s="31">
        <v>171161</v>
      </c>
      <c r="I127" s="27" t="s">
        <v>592</v>
      </c>
      <c r="J127" s="27" t="s">
        <v>29</v>
      </c>
      <c r="K127" s="28">
        <f t="shared" si="4"/>
        <v>0.97289999999999999</v>
      </c>
      <c r="L127">
        <v>126</v>
      </c>
    </row>
    <row r="128" spans="1:12" ht="18">
      <c r="A128" s="27" t="s">
        <v>593</v>
      </c>
      <c r="B128" s="27" t="s">
        <v>594</v>
      </c>
      <c r="C128" s="27" t="s">
        <v>84</v>
      </c>
      <c r="D128" s="27" t="s">
        <v>79</v>
      </c>
      <c r="E128" s="27" t="s">
        <v>595</v>
      </c>
      <c r="F128" s="29">
        <v>1.4E-3</v>
      </c>
      <c r="G128" s="30">
        <v>12923059.16</v>
      </c>
      <c r="H128" s="31">
        <v>415132</v>
      </c>
      <c r="I128" s="27" t="s">
        <v>596</v>
      </c>
      <c r="J128" s="27" t="s">
        <v>29</v>
      </c>
      <c r="K128" s="28">
        <f t="shared" si="4"/>
        <v>0.97429999999999994</v>
      </c>
      <c r="L128">
        <v>127</v>
      </c>
    </row>
    <row r="129" spans="1:12" ht="18">
      <c r="A129" s="27" t="s">
        <v>597</v>
      </c>
      <c r="B129" s="27" t="s">
        <v>598</v>
      </c>
      <c r="C129" s="27" t="s">
        <v>84</v>
      </c>
      <c r="D129" s="27" t="s">
        <v>79</v>
      </c>
      <c r="E129" s="27" t="s">
        <v>599</v>
      </c>
      <c r="F129" s="29">
        <v>1.4E-3</v>
      </c>
      <c r="G129" s="30">
        <v>12755947.84</v>
      </c>
      <c r="H129" s="31">
        <v>50651</v>
      </c>
      <c r="I129" s="27" t="s">
        <v>600</v>
      </c>
      <c r="J129" s="27" t="s">
        <v>29</v>
      </c>
      <c r="K129" s="28">
        <f t="shared" si="4"/>
        <v>0.9756999999999999</v>
      </c>
      <c r="L129">
        <v>128</v>
      </c>
    </row>
    <row r="130" spans="1:12" ht="18">
      <c r="A130" s="27" t="s">
        <v>601</v>
      </c>
      <c r="B130" s="27" t="s">
        <v>602</v>
      </c>
      <c r="C130" s="27" t="s">
        <v>124</v>
      </c>
      <c r="D130" s="27" t="s">
        <v>79</v>
      </c>
      <c r="E130" s="27" t="s">
        <v>603</v>
      </c>
      <c r="F130" s="29">
        <v>1.4E-3</v>
      </c>
      <c r="G130" s="30">
        <v>12564792</v>
      </c>
      <c r="H130" s="31">
        <v>110450</v>
      </c>
      <c r="I130" s="27" t="s">
        <v>604</v>
      </c>
      <c r="J130" s="27" t="s">
        <v>29</v>
      </c>
      <c r="K130" s="28">
        <f t="shared" si="4"/>
        <v>0.97709999999999986</v>
      </c>
      <c r="L130">
        <v>129</v>
      </c>
    </row>
    <row r="131" spans="1:12" ht="18">
      <c r="A131" s="27" t="s">
        <v>605</v>
      </c>
      <c r="B131" s="27" t="s">
        <v>606</v>
      </c>
      <c r="C131" s="27" t="s">
        <v>119</v>
      </c>
      <c r="D131" s="27" t="s">
        <v>79</v>
      </c>
      <c r="E131" s="27" t="s">
        <v>607</v>
      </c>
      <c r="F131" s="29">
        <v>1.2999999999999999E-3</v>
      </c>
      <c r="G131" s="30">
        <v>12334217.16</v>
      </c>
      <c r="H131" s="31">
        <v>78828</v>
      </c>
      <c r="I131" s="27" t="s">
        <v>608</v>
      </c>
      <c r="J131" s="27" t="s">
        <v>29</v>
      </c>
      <c r="K131" s="28">
        <f t="shared" si="4"/>
        <v>0.97839999999999983</v>
      </c>
      <c r="L131">
        <v>130</v>
      </c>
    </row>
    <row r="132" spans="1:12" ht="18">
      <c r="A132" s="27" t="s">
        <v>609</v>
      </c>
      <c r="B132" s="27" t="s">
        <v>610</v>
      </c>
      <c r="C132" s="27" t="s">
        <v>264</v>
      </c>
      <c r="D132" s="27" t="s">
        <v>79</v>
      </c>
      <c r="E132" s="27" t="s">
        <v>611</v>
      </c>
      <c r="F132" s="29">
        <v>1.2999999999999999E-3</v>
      </c>
      <c r="G132" s="30">
        <v>12008987.51</v>
      </c>
      <c r="H132" s="31">
        <v>319643</v>
      </c>
      <c r="I132" s="27" t="s">
        <v>612</v>
      </c>
      <c r="J132" s="27" t="s">
        <v>29</v>
      </c>
      <c r="K132" s="28">
        <f t="shared" si="4"/>
        <v>0.97969999999999979</v>
      </c>
      <c r="L132">
        <v>131</v>
      </c>
    </row>
    <row r="133" spans="1:12" ht="18">
      <c r="A133" s="27" t="s">
        <v>613</v>
      </c>
      <c r="B133" s="27" t="s">
        <v>614</v>
      </c>
      <c r="C133" s="27" t="s">
        <v>119</v>
      </c>
      <c r="D133" s="27" t="s">
        <v>79</v>
      </c>
      <c r="E133" s="27" t="s">
        <v>615</v>
      </c>
      <c r="F133" s="29">
        <v>1.1999999999999999E-3</v>
      </c>
      <c r="G133" s="30">
        <v>11207555.58</v>
      </c>
      <c r="H133" s="31">
        <v>119242</v>
      </c>
      <c r="I133" s="27" t="s">
        <v>616</v>
      </c>
      <c r="J133" s="27" t="s">
        <v>29</v>
      </c>
      <c r="K133" s="28">
        <f t="shared" si="4"/>
        <v>0.98089999999999977</v>
      </c>
      <c r="L133">
        <v>132</v>
      </c>
    </row>
    <row r="134" spans="1:12" ht="18">
      <c r="A134" s="27" t="s">
        <v>617</v>
      </c>
      <c r="B134" s="27" t="s">
        <v>618</v>
      </c>
      <c r="C134" s="27" t="s">
        <v>124</v>
      </c>
      <c r="D134" s="27" t="s">
        <v>79</v>
      </c>
      <c r="E134" s="27" t="s">
        <v>619</v>
      </c>
      <c r="F134" s="29">
        <v>1.1999999999999999E-3</v>
      </c>
      <c r="G134" s="30">
        <v>11088421.189999999</v>
      </c>
      <c r="H134" s="31">
        <v>121013</v>
      </c>
      <c r="I134" s="27" t="s">
        <v>620</v>
      </c>
      <c r="J134" s="27" t="s">
        <v>29</v>
      </c>
      <c r="K134" s="28">
        <f t="shared" si="4"/>
        <v>0.98209999999999975</v>
      </c>
      <c r="L134">
        <v>133</v>
      </c>
    </row>
    <row r="135" spans="1:12" ht="18">
      <c r="A135" s="27" t="s">
        <v>621</v>
      </c>
      <c r="B135" s="27" t="s">
        <v>622</v>
      </c>
      <c r="C135" s="27" t="s">
        <v>84</v>
      </c>
      <c r="D135" s="27" t="s">
        <v>79</v>
      </c>
      <c r="E135" s="27" t="s">
        <v>623</v>
      </c>
      <c r="F135" s="29">
        <v>1.1999999999999999E-3</v>
      </c>
      <c r="G135" s="30">
        <v>10890725.220000001</v>
      </c>
      <c r="H135" s="31">
        <v>164961</v>
      </c>
      <c r="I135" s="27" t="s">
        <v>624</v>
      </c>
      <c r="J135" s="27" t="s">
        <v>29</v>
      </c>
      <c r="K135" s="28">
        <f t="shared" si="4"/>
        <v>0.98329999999999973</v>
      </c>
      <c r="L135">
        <v>134</v>
      </c>
    </row>
    <row r="136" spans="1:12" ht="18">
      <c r="A136" s="27" t="s">
        <v>625</v>
      </c>
      <c r="B136" s="27" t="s">
        <v>626</v>
      </c>
      <c r="C136" s="27" t="s">
        <v>124</v>
      </c>
      <c r="D136" s="27" t="s">
        <v>79</v>
      </c>
      <c r="E136" s="27" t="s">
        <v>627</v>
      </c>
      <c r="F136" s="29">
        <v>1.1999999999999999E-3</v>
      </c>
      <c r="G136" s="30">
        <v>10796184.390000001</v>
      </c>
      <c r="H136" s="31">
        <v>654711</v>
      </c>
      <c r="I136" s="27" t="s">
        <v>628</v>
      </c>
      <c r="J136" s="27" t="s">
        <v>29</v>
      </c>
      <c r="K136" s="28">
        <f t="shared" si="4"/>
        <v>0.98449999999999971</v>
      </c>
      <c r="L136">
        <v>135</v>
      </c>
    </row>
    <row r="137" spans="1:12" ht="18">
      <c r="A137" s="27" t="s">
        <v>629</v>
      </c>
      <c r="B137" s="27" t="s">
        <v>630</v>
      </c>
      <c r="C137" s="27" t="s">
        <v>124</v>
      </c>
      <c r="D137" s="27" t="s">
        <v>79</v>
      </c>
      <c r="E137" s="27" t="s">
        <v>631</v>
      </c>
      <c r="F137" s="29">
        <v>1.1999999999999999E-3</v>
      </c>
      <c r="G137" s="30">
        <v>10676245</v>
      </c>
      <c r="H137" s="31">
        <v>137758</v>
      </c>
      <c r="I137" s="27" t="s">
        <v>632</v>
      </c>
      <c r="J137" s="27" t="s">
        <v>29</v>
      </c>
      <c r="K137" s="28">
        <f t="shared" si="4"/>
        <v>0.98569999999999969</v>
      </c>
      <c r="L137">
        <v>136</v>
      </c>
    </row>
    <row r="138" spans="1:12" ht="18">
      <c r="A138" s="27" t="s">
        <v>633</v>
      </c>
      <c r="B138" s="27" t="s">
        <v>634</v>
      </c>
      <c r="C138" s="27" t="s">
        <v>124</v>
      </c>
      <c r="D138" s="27" t="s">
        <v>79</v>
      </c>
      <c r="E138" s="27" t="s">
        <v>635</v>
      </c>
      <c r="F138" s="29">
        <v>1.1999999999999999E-3</v>
      </c>
      <c r="G138" s="30">
        <v>10581696.84</v>
      </c>
      <c r="H138" s="31">
        <v>191906</v>
      </c>
      <c r="I138" s="27" t="s">
        <v>636</v>
      </c>
      <c r="J138" s="27" t="s">
        <v>29</v>
      </c>
      <c r="K138" s="28">
        <f t="shared" si="4"/>
        <v>0.98689999999999967</v>
      </c>
      <c r="L138">
        <v>137</v>
      </c>
    </row>
    <row r="139" spans="1:12" ht="18">
      <c r="A139" s="27" t="s">
        <v>637</v>
      </c>
      <c r="B139" s="27" t="s">
        <v>638</v>
      </c>
      <c r="C139" s="27" t="s">
        <v>124</v>
      </c>
      <c r="D139" s="27" t="s">
        <v>79</v>
      </c>
      <c r="E139" s="27" t="s">
        <v>639</v>
      </c>
      <c r="F139" s="29">
        <v>1.1000000000000001E-3</v>
      </c>
      <c r="G139" s="30">
        <v>10524223.48</v>
      </c>
      <c r="H139" s="31">
        <v>278566</v>
      </c>
      <c r="I139" s="27" t="s">
        <v>640</v>
      </c>
      <c r="J139" s="27" t="s">
        <v>29</v>
      </c>
      <c r="K139" s="28">
        <f t="shared" si="4"/>
        <v>0.98799999999999966</v>
      </c>
      <c r="L139">
        <v>138</v>
      </c>
    </row>
    <row r="140" spans="1:12" ht="18">
      <c r="A140" s="27" t="s">
        <v>641</v>
      </c>
      <c r="B140" s="27" t="s">
        <v>642</v>
      </c>
      <c r="C140" s="27" t="s">
        <v>133</v>
      </c>
      <c r="D140" s="27" t="s">
        <v>79</v>
      </c>
      <c r="E140" s="27" t="s">
        <v>643</v>
      </c>
      <c r="F140" s="29">
        <v>1.1000000000000001E-3</v>
      </c>
      <c r="G140" s="30">
        <v>10494923.34</v>
      </c>
      <c r="H140" s="31">
        <v>387839</v>
      </c>
      <c r="I140" s="27" t="s">
        <v>644</v>
      </c>
      <c r="J140" s="27" t="s">
        <v>29</v>
      </c>
      <c r="K140" s="28">
        <f t="shared" si="4"/>
        <v>0.98909999999999965</v>
      </c>
      <c r="L140">
        <v>139</v>
      </c>
    </row>
    <row r="141" spans="1:12" ht="18">
      <c r="A141" s="27" t="s">
        <v>645</v>
      </c>
      <c r="B141" s="27" t="s">
        <v>646</v>
      </c>
      <c r="C141" s="27" t="s">
        <v>124</v>
      </c>
      <c r="D141" s="27" t="s">
        <v>79</v>
      </c>
      <c r="E141" s="27" t="s">
        <v>647</v>
      </c>
      <c r="F141" s="29">
        <v>1.1000000000000001E-3</v>
      </c>
      <c r="G141" s="30">
        <v>10442635.560000001</v>
      </c>
      <c r="H141" s="31">
        <v>206703</v>
      </c>
      <c r="I141" s="27" t="s">
        <v>648</v>
      </c>
      <c r="J141" s="27" t="s">
        <v>29</v>
      </c>
      <c r="K141" s="28">
        <f t="shared" si="4"/>
        <v>0.99019999999999964</v>
      </c>
      <c r="L141">
        <v>140</v>
      </c>
    </row>
    <row r="142" spans="1:12" ht="18">
      <c r="A142" s="27" t="s">
        <v>649</v>
      </c>
      <c r="B142" s="27" t="s">
        <v>650</v>
      </c>
      <c r="C142" s="27" t="s">
        <v>124</v>
      </c>
      <c r="D142" s="27" t="s">
        <v>79</v>
      </c>
      <c r="E142" s="27" t="s">
        <v>651</v>
      </c>
      <c r="F142" s="29">
        <v>1.1000000000000001E-3</v>
      </c>
      <c r="G142" s="30">
        <v>10338523</v>
      </c>
      <c r="H142" s="31">
        <v>163300</v>
      </c>
      <c r="I142" s="27" t="s">
        <v>652</v>
      </c>
      <c r="J142" s="27" t="s">
        <v>29</v>
      </c>
      <c r="K142" s="28">
        <f t="shared" si="4"/>
        <v>0.99129999999999963</v>
      </c>
      <c r="L142">
        <v>141</v>
      </c>
    </row>
    <row r="143" spans="1:12" ht="18">
      <c r="A143" s="27" t="s">
        <v>653</v>
      </c>
      <c r="B143" s="27" t="s">
        <v>654</v>
      </c>
      <c r="C143" s="27" t="s">
        <v>124</v>
      </c>
      <c r="D143" s="27" t="s">
        <v>79</v>
      </c>
      <c r="E143" s="27" t="s">
        <v>655</v>
      </c>
      <c r="F143" s="29">
        <v>1.1000000000000001E-3</v>
      </c>
      <c r="G143" s="30">
        <v>10155088.08</v>
      </c>
      <c r="H143" s="31">
        <v>40126</v>
      </c>
      <c r="I143" s="27" t="s">
        <v>656</v>
      </c>
      <c r="J143" s="27" t="s">
        <v>29</v>
      </c>
      <c r="K143" s="28">
        <f t="shared" si="4"/>
        <v>0.99239999999999962</v>
      </c>
      <c r="L143">
        <v>142</v>
      </c>
    </row>
    <row r="144" spans="1:12" ht="18">
      <c r="A144" s="27" t="s">
        <v>657</v>
      </c>
      <c r="B144" s="27" t="s">
        <v>658</v>
      </c>
      <c r="C144" s="27" t="s">
        <v>124</v>
      </c>
      <c r="D144" s="27" t="s">
        <v>79</v>
      </c>
      <c r="E144" s="27" t="s">
        <v>659</v>
      </c>
      <c r="F144" s="29">
        <v>1.1000000000000001E-3</v>
      </c>
      <c r="G144" s="30">
        <v>10036604.460000001</v>
      </c>
      <c r="H144" s="31">
        <v>161542</v>
      </c>
      <c r="I144" s="27" t="s">
        <v>660</v>
      </c>
      <c r="J144" s="27" t="s">
        <v>29</v>
      </c>
      <c r="K144" s="28">
        <f t="shared" si="4"/>
        <v>0.99349999999999961</v>
      </c>
      <c r="L144">
        <v>143</v>
      </c>
    </row>
    <row r="145" spans="1:12" ht="18">
      <c r="A145" s="27" t="s">
        <v>661</v>
      </c>
      <c r="B145" s="27" t="s">
        <v>662</v>
      </c>
      <c r="C145" s="27" t="s">
        <v>119</v>
      </c>
      <c r="D145" s="27" t="s">
        <v>79</v>
      </c>
      <c r="E145" s="27" t="s">
        <v>663</v>
      </c>
      <c r="F145" s="29">
        <v>1.1000000000000001E-3</v>
      </c>
      <c r="G145" s="30">
        <v>9899567.5</v>
      </c>
      <c r="H145" s="31">
        <v>270850</v>
      </c>
      <c r="I145" s="27" t="s">
        <v>664</v>
      </c>
      <c r="J145" s="27" t="s">
        <v>29</v>
      </c>
      <c r="K145" s="28">
        <f t="shared" si="4"/>
        <v>0.9945999999999996</v>
      </c>
      <c r="L145">
        <v>144</v>
      </c>
    </row>
    <row r="146" spans="1:12" ht="18">
      <c r="A146" s="27" t="s">
        <v>665</v>
      </c>
      <c r="B146" s="27" t="s">
        <v>666</v>
      </c>
      <c r="C146" s="27" t="s">
        <v>106</v>
      </c>
      <c r="D146" s="27" t="s">
        <v>79</v>
      </c>
      <c r="E146" s="27" t="s">
        <v>667</v>
      </c>
      <c r="F146" s="29">
        <v>8.9999999999999998E-4</v>
      </c>
      <c r="G146" s="30">
        <v>8570945.25</v>
      </c>
      <c r="H146" s="31">
        <v>329525</v>
      </c>
      <c r="I146" s="27" t="s">
        <v>668</v>
      </c>
      <c r="J146" s="27" t="s">
        <v>29</v>
      </c>
      <c r="K146" s="28">
        <f t="shared" si="4"/>
        <v>0.99549999999999961</v>
      </c>
      <c r="L146">
        <v>145</v>
      </c>
    </row>
    <row r="147" spans="1:12" ht="18">
      <c r="A147" s="27" t="s">
        <v>669</v>
      </c>
      <c r="B147" s="27" t="s">
        <v>670</v>
      </c>
      <c r="C147" s="27" t="s">
        <v>133</v>
      </c>
      <c r="D147" s="27" t="s">
        <v>79</v>
      </c>
      <c r="E147" s="27" t="s">
        <v>671</v>
      </c>
      <c r="F147" s="29">
        <v>8.9999999999999998E-4</v>
      </c>
      <c r="G147" s="30">
        <v>8315576.0099999998</v>
      </c>
      <c r="H147" s="31">
        <v>428859</v>
      </c>
      <c r="I147" s="27" t="s">
        <v>672</v>
      </c>
      <c r="J147" s="27" t="s">
        <v>29</v>
      </c>
      <c r="K147" s="28">
        <f t="shared" si="4"/>
        <v>0.99639999999999962</v>
      </c>
      <c r="L147">
        <v>146</v>
      </c>
    </row>
    <row r="148" spans="1:12" ht="18">
      <c r="A148" s="27" t="s">
        <v>673</v>
      </c>
      <c r="B148" s="27" t="s">
        <v>674</v>
      </c>
      <c r="C148" s="27" t="s">
        <v>106</v>
      </c>
      <c r="D148" s="27" t="s">
        <v>79</v>
      </c>
      <c r="E148" s="27" t="s">
        <v>675</v>
      </c>
      <c r="F148" s="29">
        <v>8.9999999999999998E-4</v>
      </c>
      <c r="G148" s="30">
        <v>7853865.8399999999</v>
      </c>
      <c r="H148" s="31">
        <v>356346</v>
      </c>
      <c r="I148" s="27" t="s">
        <v>676</v>
      </c>
      <c r="J148" s="27" t="s">
        <v>29</v>
      </c>
      <c r="K148" s="28">
        <f t="shared" si="4"/>
        <v>0.99729999999999963</v>
      </c>
      <c r="L148">
        <v>147</v>
      </c>
    </row>
    <row r="149" spans="1:12" ht="18">
      <c r="A149" s="27" t="s">
        <v>677</v>
      </c>
      <c r="B149" s="27" t="s">
        <v>678</v>
      </c>
      <c r="C149" s="27" t="s">
        <v>119</v>
      </c>
      <c r="D149" s="27" t="s">
        <v>79</v>
      </c>
      <c r="E149" s="27" t="s">
        <v>679</v>
      </c>
      <c r="F149" s="29">
        <v>8.0000000000000004E-4</v>
      </c>
      <c r="G149" s="30">
        <v>7062493.6799999997</v>
      </c>
      <c r="H149" s="31">
        <v>539946</v>
      </c>
      <c r="I149" s="27" t="s">
        <v>680</v>
      </c>
      <c r="J149" s="27" t="s">
        <v>29</v>
      </c>
      <c r="K149" s="28">
        <f t="shared" si="4"/>
        <v>0.99809999999999965</v>
      </c>
      <c r="L149">
        <v>148</v>
      </c>
    </row>
    <row r="150" spans="1:12" ht="18">
      <c r="A150" s="27" t="s">
        <v>681</v>
      </c>
      <c r="B150" s="27" t="s">
        <v>682</v>
      </c>
      <c r="C150" s="27" t="s">
        <v>84</v>
      </c>
      <c r="D150" s="27" t="s">
        <v>79</v>
      </c>
      <c r="E150" s="27" t="s">
        <v>683</v>
      </c>
      <c r="F150" s="29">
        <v>6.9999999999999999E-4</v>
      </c>
      <c r="G150" s="30">
        <v>6571149.9000000004</v>
      </c>
      <c r="H150" s="31">
        <v>399462</v>
      </c>
      <c r="I150" s="27" t="s">
        <v>684</v>
      </c>
      <c r="J150" s="27" t="s">
        <v>29</v>
      </c>
      <c r="K150" s="28">
        <f t="shared" si="4"/>
        <v>0.99879999999999969</v>
      </c>
      <c r="L150">
        <v>149</v>
      </c>
    </row>
    <row r="151" spans="1:12" ht="18">
      <c r="A151" s="27" t="s">
        <v>685</v>
      </c>
      <c r="B151" s="27" t="s">
        <v>686</v>
      </c>
      <c r="C151" s="27" t="s">
        <v>119</v>
      </c>
      <c r="D151" s="27" t="s">
        <v>79</v>
      </c>
      <c r="E151" s="27" t="s">
        <v>687</v>
      </c>
      <c r="F151" s="29">
        <v>5.9999999999999995E-4</v>
      </c>
      <c r="G151" s="30">
        <v>5444376.7000000002</v>
      </c>
      <c r="H151" s="31">
        <v>68890</v>
      </c>
      <c r="I151" s="27" t="s">
        <v>688</v>
      </c>
      <c r="J151" s="27" t="s">
        <v>29</v>
      </c>
      <c r="K151" s="28">
        <f t="shared" si="4"/>
        <v>0.99939999999999973</v>
      </c>
      <c r="L151">
        <v>150</v>
      </c>
    </row>
    <row r="152" spans="1:12" ht="18">
      <c r="A152" s="27" t="s">
        <v>689</v>
      </c>
      <c r="B152" s="27" t="s">
        <v>690</v>
      </c>
      <c r="C152" s="27" t="s">
        <v>106</v>
      </c>
      <c r="D152" s="27" t="s">
        <v>79</v>
      </c>
      <c r="E152" s="27" t="s">
        <v>691</v>
      </c>
      <c r="F152" s="29">
        <v>5.0000000000000001E-4</v>
      </c>
      <c r="G152" s="30">
        <v>4396440.4400000004</v>
      </c>
      <c r="H152" s="31">
        <v>206794</v>
      </c>
      <c r="I152" s="27" t="s">
        <v>692</v>
      </c>
      <c r="J152" s="27" t="s">
        <v>29</v>
      </c>
      <c r="K152" s="28">
        <f t="shared" si="4"/>
        <v>0.99989999999999968</v>
      </c>
      <c r="L152">
        <v>151</v>
      </c>
    </row>
    <row r="153" spans="1:12" ht="18">
      <c r="A153" s="27" t="s">
        <v>693</v>
      </c>
      <c r="B153" s="27" t="s">
        <v>694</v>
      </c>
      <c r="C153" s="27" t="s">
        <v>557</v>
      </c>
      <c r="D153" s="27" t="s">
        <v>695</v>
      </c>
      <c r="E153" s="27" t="s">
        <v>696</v>
      </c>
      <c r="F153" s="29">
        <v>2.9999999999999997E-4</v>
      </c>
      <c r="G153" s="30">
        <v>2614017.92</v>
      </c>
      <c r="H153" s="31">
        <v>2614018</v>
      </c>
      <c r="I153" s="27" t="s">
        <v>697</v>
      </c>
      <c r="J153" s="27" t="s">
        <v>29</v>
      </c>
      <c r="K153" s="28">
        <f t="shared" si="4"/>
        <v>1.0001999999999998</v>
      </c>
      <c r="L153">
        <v>152</v>
      </c>
    </row>
    <row r="154" spans="1:12" ht="18">
      <c r="A154" s="27" t="s">
        <v>698</v>
      </c>
      <c r="B154" s="27" t="s">
        <v>699</v>
      </c>
      <c r="C154" s="27" t="s">
        <v>557</v>
      </c>
      <c r="D154" s="27" t="s">
        <v>700</v>
      </c>
      <c r="E154" s="27" t="s">
        <v>701</v>
      </c>
      <c r="F154" s="29">
        <v>1E-4</v>
      </c>
      <c r="G154" s="30">
        <v>1119000</v>
      </c>
      <c r="H154" s="31">
        <v>1119000</v>
      </c>
      <c r="I154" s="27" t="s">
        <v>560</v>
      </c>
      <c r="J154" s="27" t="s">
        <v>29</v>
      </c>
      <c r="K154" s="28">
        <f t="shared" si="4"/>
        <v>1.0002999999999997</v>
      </c>
      <c r="L154">
        <v>153</v>
      </c>
    </row>
    <row r="155" spans="1:12" ht="18">
      <c r="A155" s="27" t="s">
        <v>28</v>
      </c>
      <c r="B155" s="27" t="s">
        <v>702</v>
      </c>
      <c r="C155" s="27" t="s">
        <v>557</v>
      </c>
      <c r="D155" s="27" t="s">
        <v>558</v>
      </c>
      <c r="E155" s="27" t="s">
        <v>703</v>
      </c>
      <c r="F155" s="29">
        <v>1E-4</v>
      </c>
      <c r="G155" s="30">
        <v>613111.76</v>
      </c>
      <c r="H155" s="31">
        <v>566359</v>
      </c>
      <c r="I155" s="27" t="s">
        <v>560</v>
      </c>
      <c r="J155" s="27" t="s">
        <v>28</v>
      </c>
      <c r="K155" s="28">
        <f t="shared" si="4"/>
        <v>1.0003999999999997</v>
      </c>
      <c r="L155">
        <v>154</v>
      </c>
    </row>
    <row r="156" spans="1:12" ht="18">
      <c r="A156" s="27" t="s">
        <v>704</v>
      </c>
      <c r="B156" s="27" t="s">
        <v>705</v>
      </c>
      <c r="C156" s="27" t="s">
        <v>557</v>
      </c>
      <c r="D156" s="27" t="s">
        <v>558</v>
      </c>
      <c r="E156" s="27" t="s">
        <v>706</v>
      </c>
      <c r="F156" s="29">
        <v>0</v>
      </c>
      <c r="G156" s="30">
        <v>15584.57</v>
      </c>
      <c r="H156" s="31">
        <v>12768</v>
      </c>
      <c r="I156" s="27" t="s">
        <v>560</v>
      </c>
      <c r="J156" s="27" t="s">
        <v>704</v>
      </c>
      <c r="K156" s="28">
        <f t="shared" si="4"/>
        <v>1.0003999999999997</v>
      </c>
      <c r="L156">
        <v>155</v>
      </c>
    </row>
    <row r="157" spans="1:12" ht="18">
      <c r="A157" s="27" t="s">
        <v>707</v>
      </c>
      <c r="B157" s="27" t="s">
        <v>708</v>
      </c>
      <c r="C157" s="27" t="s">
        <v>557</v>
      </c>
      <c r="D157" s="27" t="s">
        <v>709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09C7-B043-3F4F-9222-9530AA1B0B0D}">
  <dimension ref="A1:CO83"/>
  <sheetViews>
    <sheetView workbookViewId="0">
      <selection activeCell="M1" sqref="M1:CO1"/>
    </sheetView>
  </sheetViews>
  <sheetFormatPr baseColWidth="10" defaultRowHeight="15"/>
  <cols>
    <col min="1" max="1" width="52.5" customWidth="1"/>
    <col min="4" max="4" width="29.6640625" customWidth="1"/>
  </cols>
  <sheetData>
    <row r="1" spans="1:93" ht="23">
      <c r="A1" s="33" t="s">
        <v>830</v>
      </c>
      <c r="B1" s="18" t="s">
        <v>831</v>
      </c>
      <c r="C1" s="35" t="s">
        <v>28</v>
      </c>
      <c r="I1">
        <f>IF(J1=1.11%,1,0)</f>
        <v>0</v>
      </c>
      <c r="J1" s="77">
        <v>1.06E-2</v>
      </c>
      <c r="K1" s="78">
        <v>1.06E-2</v>
      </c>
      <c r="M1" s="78">
        <v>1.06E-2</v>
      </c>
      <c r="N1" s="78">
        <v>2.0999999999999999E-3</v>
      </c>
      <c r="O1" s="78">
        <v>1.35E-2</v>
      </c>
      <c r="P1" s="78">
        <v>2.12E-2</v>
      </c>
      <c r="Q1" s="78">
        <v>9.1000000000000004E-3</v>
      </c>
      <c r="R1" s="78">
        <v>3.6400000000000002E-2</v>
      </c>
      <c r="S1" s="78">
        <v>3.6700000000000003E-2</v>
      </c>
      <c r="T1" s="78">
        <v>2.5899999999999999E-2</v>
      </c>
      <c r="U1" s="78">
        <v>4.0000000000000001E-3</v>
      </c>
      <c r="V1" s="78">
        <v>3.3E-3</v>
      </c>
      <c r="W1" s="78">
        <v>5.45E-2</v>
      </c>
      <c r="X1" s="78">
        <v>2.0799999999999999E-2</v>
      </c>
      <c r="Y1" s="78">
        <v>7.6E-3</v>
      </c>
      <c r="Z1" s="78">
        <v>6.7999999999999996E-3</v>
      </c>
      <c r="AA1" s="78">
        <v>2.8E-3</v>
      </c>
      <c r="AB1" s="78">
        <v>4.4999999999999997E-3</v>
      </c>
      <c r="AC1" s="78">
        <v>7.1999999999999998E-3</v>
      </c>
      <c r="AD1" s="78">
        <v>9.1000000000000004E-3</v>
      </c>
      <c r="AE1" s="78">
        <v>3.8E-3</v>
      </c>
      <c r="AF1" s="78">
        <v>1.0200000000000001E-2</v>
      </c>
      <c r="AG1" s="78">
        <v>2.7000000000000001E-3</v>
      </c>
      <c r="AH1" s="78">
        <v>1.8200000000000001E-2</v>
      </c>
      <c r="AI1" s="78">
        <v>9.5999999999999992E-3</v>
      </c>
      <c r="AJ1" s="78">
        <v>1.06E-2</v>
      </c>
      <c r="AK1" s="78">
        <v>1.2699999999999999E-2</v>
      </c>
      <c r="AL1" s="78">
        <v>5.4000000000000003E-3</v>
      </c>
      <c r="AM1" s="78">
        <v>7.3000000000000001E-3</v>
      </c>
      <c r="AN1" s="78">
        <v>1.03E-2</v>
      </c>
      <c r="AO1" s="78">
        <v>2.3E-3</v>
      </c>
      <c r="AP1" s="78">
        <v>6.0000000000000001E-3</v>
      </c>
      <c r="AQ1" s="78">
        <v>8.6E-3</v>
      </c>
      <c r="AR1" s="78">
        <v>8.5000000000000006E-3</v>
      </c>
      <c r="AS1" s="78">
        <v>1.1599999999999999E-2</v>
      </c>
      <c r="AT1" s="78">
        <v>1.15E-2</v>
      </c>
      <c r="AU1" s="78">
        <v>3.5000000000000001E-3</v>
      </c>
      <c r="AV1" s="78">
        <v>1.8499999999999999E-2</v>
      </c>
      <c r="AW1" s="78">
        <v>9.7999999999999997E-3</v>
      </c>
      <c r="AX1" s="78">
        <v>5.1000000000000004E-3</v>
      </c>
      <c r="AY1" s="78">
        <v>5.7999999999999996E-3</v>
      </c>
      <c r="AZ1" s="78">
        <v>1.18E-2</v>
      </c>
      <c r="BA1" s="78">
        <v>1.34E-2</v>
      </c>
      <c r="BB1" s="78">
        <v>2.1600000000000001E-2</v>
      </c>
      <c r="BC1" s="78">
        <v>7.0000000000000001E-3</v>
      </c>
      <c r="BD1" s="78">
        <v>1.4999999999999999E-2</v>
      </c>
      <c r="BE1" s="78">
        <v>2.0500000000000001E-2</v>
      </c>
      <c r="BF1" s="78">
        <v>1.7500000000000002E-2</v>
      </c>
      <c r="BG1" s="78">
        <v>8.9999999999999993E-3</v>
      </c>
      <c r="BH1" s="78">
        <v>3.5999999999999999E-3</v>
      </c>
      <c r="BI1" s="78">
        <v>1.29E-2</v>
      </c>
      <c r="BJ1" s="78">
        <v>1.17E-2</v>
      </c>
      <c r="BK1" s="78">
        <v>7.0000000000000001E-3</v>
      </c>
      <c r="BL1" s="78">
        <v>5.2299999999999999E-2</v>
      </c>
      <c r="BM1" s="78">
        <v>7.7999999999999996E-3</v>
      </c>
      <c r="BN1" s="78">
        <v>3.8999999999999998E-3</v>
      </c>
      <c r="BO1" s="78">
        <v>7.7000000000000002E-3</v>
      </c>
      <c r="BP1" s="78">
        <v>2.5000000000000001E-3</v>
      </c>
      <c r="BQ1" s="78">
        <v>1.37E-2</v>
      </c>
      <c r="BR1" s="78">
        <v>3.3000000000000002E-2</v>
      </c>
      <c r="BS1" s="78">
        <v>3.6799999999999999E-2</v>
      </c>
      <c r="BT1" s="78">
        <v>1.84E-2</v>
      </c>
      <c r="BU1" s="78">
        <v>1.1299999999999999E-2</v>
      </c>
      <c r="BV1" s="78">
        <v>1.09E-2</v>
      </c>
      <c r="BW1" s="78">
        <v>6.1999999999999998E-3</v>
      </c>
      <c r="BX1" s="78">
        <v>8.6E-3</v>
      </c>
      <c r="BY1" s="78">
        <v>1.9599999999999999E-2</v>
      </c>
      <c r="BZ1" s="78">
        <v>7.3000000000000001E-3</v>
      </c>
      <c r="CA1" s="78">
        <v>1.4999999999999999E-2</v>
      </c>
      <c r="CB1" s="78">
        <v>1.1599999999999999E-2</v>
      </c>
      <c r="CC1" s="78">
        <v>1.55E-2</v>
      </c>
      <c r="CD1" s="78">
        <v>4.4999999999999997E-3</v>
      </c>
      <c r="CE1" s="78">
        <v>5.7000000000000002E-3</v>
      </c>
      <c r="CF1" s="78">
        <v>2.2000000000000001E-3</v>
      </c>
      <c r="CG1" s="78">
        <v>1.7500000000000002E-2</v>
      </c>
      <c r="CH1" s="78">
        <v>9.4999999999999998E-3</v>
      </c>
      <c r="CI1" s="78">
        <v>1.01E-2</v>
      </c>
      <c r="CJ1" s="78">
        <v>8.9999999999999993E-3</v>
      </c>
      <c r="CK1" s="78">
        <v>1.43E-2</v>
      </c>
      <c r="CL1" s="78">
        <v>3.5000000000000001E-3</v>
      </c>
      <c r="CM1" s="78">
        <v>8.2000000000000007E-3</v>
      </c>
      <c r="CN1" s="78">
        <v>7.7999999999999996E-3</v>
      </c>
      <c r="CO1" s="78">
        <v>0.01</v>
      </c>
    </row>
    <row r="2" spans="1:93" ht="23">
      <c r="A2" s="35" t="s">
        <v>20</v>
      </c>
      <c r="B2" s="18" t="s">
        <v>832</v>
      </c>
      <c r="C2" s="35" t="s">
        <v>28</v>
      </c>
      <c r="I2">
        <f t="shared" ref="I2:I28" si="0">IF(J2=1.11%,1,0)</f>
        <v>0</v>
      </c>
      <c r="J2" s="77">
        <v>2.0999999999999999E-3</v>
      </c>
      <c r="K2" s="78">
        <v>2.0999999999999999E-3</v>
      </c>
    </row>
    <row r="3" spans="1:93" ht="23">
      <c r="A3" s="35" t="s">
        <v>833</v>
      </c>
      <c r="B3" s="18" t="s">
        <v>834</v>
      </c>
      <c r="C3" s="35" t="s">
        <v>28</v>
      </c>
      <c r="I3">
        <f t="shared" si="0"/>
        <v>0</v>
      </c>
      <c r="J3" s="77">
        <v>1.35E-2</v>
      </c>
      <c r="K3" s="78">
        <v>1.35E-2</v>
      </c>
    </row>
    <row r="4" spans="1:93" ht="23">
      <c r="A4" s="33" t="s">
        <v>836</v>
      </c>
      <c r="B4" s="18" t="s">
        <v>835</v>
      </c>
      <c r="C4" s="35" t="s">
        <v>28</v>
      </c>
      <c r="I4">
        <f t="shared" si="0"/>
        <v>0</v>
      </c>
      <c r="J4" s="77">
        <v>2.12E-2</v>
      </c>
      <c r="K4" s="78">
        <v>2.12E-2</v>
      </c>
    </row>
    <row r="5" spans="1:93" ht="23">
      <c r="A5" s="35" t="s">
        <v>837</v>
      </c>
      <c r="B5" s="18" t="s">
        <v>838</v>
      </c>
      <c r="C5" s="35" t="s">
        <v>28</v>
      </c>
      <c r="I5">
        <f t="shared" si="0"/>
        <v>0</v>
      </c>
      <c r="J5" s="77">
        <v>9.1000000000000004E-3</v>
      </c>
      <c r="K5" s="78">
        <v>9.1000000000000004E-3</v>
      </c>
    </row>
    <row r="6" spans="1:93">
      <c r="I6">
        <f t="shared" si="0"/>
        <v>0</v>
      </c>
      <c r="J6" s="77">
        <v>3.6400000000000002E-2</v>
      </c>
      <c r="K6" s="78">
        <v>3.6400000000000002E-2</v>
      </c>
    </row>
    <row r="7" spans="1:93">
      <c r="I7">
        <f t="shared" si="0"/>
        <v>0</v>
      </c>
      <c r="J7" s="77">
        <v>3.6700000000000003E-2</v>
      </c>
      <c r="K7" s="78">
        <v>3.6700000000000003E-2</v>
      </c>
    </row>
    <row r="8" spans="1:93">
      <c r="I8">
        <f t="shared" si="0"/>
        <v>0</v>
      </c>
      <c r="J8" s="77">
        <v>2.5899999999999999E-2</v>
      </c>
      <c r="K8" s="78">
        <v>2.5899999999999999E-2</v>
      </c>
    </row>
    <row r="9" spans="1:93">
      <c r="A9" s="36">
        <v>1294</v>
      </c>
      <c r="B9" t="s">
        <v>840</v>
      </c>
      <c r="D9" s="37">
        <f>A9/$A$20</f>
        <v>5.5557940835515865E-2</v>
      </c>
      <c r="I9">
        <f t="shared" si="0"/>
        <v>0</v>
      </c>
      <c r="J9" s="77">
        <v>4.0000000000000001E-3</v>
      </c>
      <c r="K9" s="78">
        <v>4.0000000000000001E-3</v>
      </c>
    </row>
    <row r="10" spans="1:93">
      <c r="A10" s="36">
        <v>4018</v>
      </c>
      <c r="B10" t="s">
        <v>841</v>
      </c>
      <c r="D10" s="37">
        <f t="shared" ref="D10:D18" si="1">A10/$A$20</f>
        <v>0.17251298784938388</v>
      </c>
      <c r="I10">
        <f t="shared" si="0"/>
        <v>0</v>
      </c>
      <c r="J10" s="77">
        <v>3.3E-3</v>
      </c>
      <c r="K10" s="78">
        <v>3.3E-3</v>
      </c>
    </row>
    <row r="11" spans="1:93">
      <c r="A11" s="36">
        <v>2726</v>
      </c>
      <c r="B11" t="s">
        <v>842</v>
      </c>
      <c r="D11" s="37">
        <f t="shared" si="1"/>
        <v>0.11704091709243913</v>
      </c>
      <c r="I11">
        <f t="shared" si="0"/>
        <v>0</v>
      </c>
      <c r="J11" s="77">
        <v>5.45E-2</v>
      </c>
      <c r="K11" s="78">
        <v>5.45E-2</v>
      </c>
    </row>
    <row r="12" spans="1:93">
      <c r="A12" s="36">
        <v>4038</v>
      </c>
      <c r="B12" t="s">
        <v>843</v>
      </c>
      <c r="D12" s="37">
        <f t="shared" si="1"/>
        <v>0.17337168863509511</v>
      </c>
      <c r="I12">
        <f t="shared" si="0"/>
        <v>0</v>
      </c>
      <c r="J12" s="77">
        <v>2.0799999999999999E-2</v>
      </c>
      <c r="K12" s="78">
        <v>2.0799999999999999E-2</v>
      </c>
    </row>
    <row r="13" spans="1:93">
      <c r="A13" s="36">
        <v>5993</v>
      </c>
      <c r="B13" t="s">
        <v>844</v>
      </c>
      <c r="D13" s="37">
        <f t="shared" si="1"/>
        <v>0.25730969043836677</v>
      </c>
      <c r="I13">
        <f t="shared" si="0"/>
        <v>0</v>
      </c>
      <c r="J13" s="77">
        <v>7.6E-3</v>
      </c>
      <c r="K13" s="78">
        <v>7.6E-3</v>
      </c>
    </row>
    <row r="14" spans="1:93">
      <c r="A14" s="36">
        <v>641</v>
      </c>
      <c r="B14" t="s">
        <v>845</v>
      </c>
      <c r="D14" s="37">
        <f t="shared" si="1"/>
        <v>2.7521360182044565E-2</v>
      </c>
      <c r="I14">
        <f t="shared" si="0"/>
        <v>0</v>
      </c>
      <c r="J14" s="77">
        <v>6.7999999999999996E-3</v>
      </c>
      <c r="K14" s="78">
        <v>6.7999999999999996E-3</v>
      </c>
    </row>
    <row r="15" spans="1:93">
      <c r="A15" s="36">
        <v>1021</v>
      </c>
      <c r="B15" t="s">
        <v>846</v>
      </c>
      <c r="D15" s="37">
        <f t="shared" si="1"/>
        <v>4.3836675110557728E-2</v>
      </c>
      <c r="I15">
        <f t="shared" si="0"/>
        <v>0</v>
      </c>
      <c r="J15" s="77">
        <v>2.8E-3</v>
      </c>
      <c r="K15" s="78">
        <v>2.8E-3</v>
      </c>
    </row>
    <row r="16" spans="1:93">
      <c r="A16" s="36">
        <v>1105</v>
      </c>
      <c r="B16" t="s">
        <v>847</v>
      </c>
      <c r="D16" s="37">
        <f t="shared" si="1"/>
        <v>4.7443218410544843E-2</v>
      </c>
      <c r="I16">
        <f t="shared" si="0"/>
        <v>0</v>
      </c>
      <c r="J16" s="77">
        <v>4.4999999999999997E-3</v>
      </c>
      <c r="K16" s="78">
        <v>4.4999999999999997E-3</v>
      </c>
    </row>
    <row r="17" spans="1:11">
      <c r="A17" s="36">
        <v>1170</v>
      </c>
      <c r="B17" t="s">
        <v>848</v>
      </c>
      <c r="D17" s="37">
        <f t="shared" si="1"/>
        <v>5.0233995964106305E-2</v>
      </c>
      <c r="I17">
        <f t="shared" si="0"/>
        <v>0</v>
      </c>
      <c r="J17" s="77">
        <v>7.1999999999999998E-3</v>
      </c>
      <c r="K17" s="78">
        <v>7.1999999999999998E-3</v>
      </c>
    </row>
    <row r="18" spans="1:11">
      <c r="A18" s="36">
        <v>1285</v>
      </c>
      <c r="B18" t="s">
        <v>849</v>
      </c>
      <c r="D18" s="37">
        <f t="shared" si="1"/>
        <v>5.5171525481945816E-2</v>
      </c>
      <c r="I18">
        <f t="shared" si="0"/>
        <v>0</v>
      </c>
      <c r="J18" s="77">
        <v>9.1000000000000004E-3</v>
      </c>
      <c r="K18" s="78">
        <v>9.1000000000000004E-3</v>
      </c>
    </row>
    <row r="19" spans="1:11">
      <c r="I19">
        <f t="shared" si="0"/>
        <v>0</v>
      </c>
      <c r="J19" s="77">
        <v>3.8E-3</v>
      </c>
      <c r="K19" s="78">
        <v>3.8E-3</v>
      </c>
    </row>
    <row r="20" spans="1:11">
      <c r="A20" s="36">
        <f>SUM(A9:A18)</f>
        <v>23291</v>
      </c>
      <c r="I20">
        <f t="shared" si="0"/>
        <v>0</v>
      </c>
      <c r="J20" s="77">
        <v>1.0200000000000001E-2</v>
      </c>
      <c r="K20" s="78">
        <v>1.0200000000000001E-2</v>
      </c>
    </row>
    <row r="21" spans="1:11">
      <c r="I21">
        <f t="shared" si="0"/>
        <v>0</v>
      </c>
      <c r="J21" s="77">
        <v>2.7000000000000001E-3</v>
      </c>
      <c r="K21" s="78">
        <v>2.7000000000000001E-3</v>
      </c>
    </row>
    <row r="22" spans="1:11">
      <c r="A22" s="39" t="s">
        <v>942</v>
      </c>
      <c r="B22" s="39" t="s">
        <v>943</v>
      </c>
      <c r="C22" s="39" t="s">
        <v>944</v>
      </c>
      <c r="D22" s="39" t="s">
        <v>945</v>
      </c>
      <c r="E22" s="39" t="s">
        <v>946</v>
      </c>
      <c r="F22" s="39" t="s">
        <v>947</v>
      </c>
      <c r="I22">
        <f t="shared" si="0"/>
        <v>0</v>
      </c>
      <c r="J22" s="77">
        <v>1.8200000000000001E-2</v>
      </c>
      <c r="K22" s="78">
        <v>1.8200000000000001E-2</v>
      </c>
    </row>
    <row r="23" spans="1:11">
      <c r="A23" s="32" t="s">
        <v>948</v>
      </c>
      <c r="B23" s="39" t="s">
        <v>949</v>
      </c>
      <c r="C23" s="39" t="s">
        <v>950</v>
      </c>
      <c r="D23" s="39" t="s">
        <v>951</v>
      </c>
      <c r="E23" s="40">
        <v>0.3</v>
      </c>
      <c r="F23" s="39" t="s">
        <v>952</v>
      </c>
      <c r="I23">
        <f t="shared" si="0"/>
        <v>0</v>
      </c>
      <c r="J23" s="77">
        <v>9.5999999999999992E-3</v>
      </c>
      <c r="K23" s="78">
        <v>9.5999999999999992E-3</v>
      </c>
    </row>
    <row r="24" spans="1:11">
      <c r="A24" s="32" t="s">
        <v>953</v>
      </c>
      <c r="B24" s="39" t="s">
        <v>949</v>
      </c>
      <c r="C24" s="39" t="s">
        <v>954</v>
      </c>
      <c r="D24" s="39" t="s">
        <v>955</v>
      </c>
      <c r="E24" s="40">
        <v>0.3</v>
      </c>
      <c r="F24" s="39" t="s">
        <v>956</v>
      </c>
      <c r="I24">
        <f t="shared" si="0"/>
        <v>0</v>
      </c>
      <c r="J24" s="77">
        <v>1.06E-2</v>
      </c>
      <c r="K24" s="78">
        <v>1.06E-2</v>
      </c>
    </row>
    <row r="25" spans="1:11">
      <c r="A25" s="32" t="s">
        <v>957</v>
      </c>
      <c r="B25" s="39" t="s">
        <v>949</v>
      </c>
      <c r="C25" s="39" t="s">
        <v>958</v>
      </c>
      <c r="D25" s="39" t="s">
        <v>959</v>
      </c>
      <c r="E25" s="40">
        <v>0.12</v>
      </c>
      <c r="F25" s="39" t="s">
        <v>960</v>
      </c>
      <c r="I25">
        <f t="shared" si="0"/>
        <v>0</v>
      </c>
      <c r="J25" s="77">
        <v>1.2699999999999999E-2</v>
      </c>
      <c r="K25" s="78">
        <v>1.2699999999999999E-2</v>
      </c>
    </row>
    <row r="26" spans="1:11">
      <c r="A26" s="32" t="s">
        <v>961</v>
      </c>
      <c r="B26" s="39" t="s">
        <v>962</v>
      </c>
      <c r="C26" s="39" t="s">
        <v>963</v>
      </c>
      <c r="D26" s="39" t="s">
        <v>964</v>
      </c>
      <c r="E26" s="40">
        <v>0.1</v>
      </c>
      <c r="F26" s="39" t="s">
        <v>952</v>
      </c>
      <c r="I26">
        <f t="shared" si="0"/>
        <v>0</v>
      </c>
      <c r="J26" s="77">
        <v>5.4000000000000003E-3</v>
      </c>
      <c r="K26" s="78">
        <v>5.4000000000000003E-3</v>
      </c>
    </row>
    <row r="27" spans="1:11">
      <c r="A27" s="32" t="s">
        <v>965</v>
      </c>
      <c r="B27" s="39" t="s">
        <v>962</v>
      </c>
      <c r="C27" s="39" t="s">
        <v>966</v>
      </c>
      <c r="D27" s="39" t="s">
        <v>967</v>
      </c>
      <c r="E27" s="40">
        <v>0.1</v>
      </c>
      <c r="F27" s="39" t="s">
        <v>960</v>
      </c>
      <c r="I27">
        <f t="shared" si="0"/>
        <v>0</v>
      </c>
      <c r="J27" s="77">
        <v>7.3000000000000001E-3</v>
      </c>
      <c r="K27" s="78">
        <v>7.3000000000000001E-3</v>
      </c>
    </row>
    <row r="28" spans="1:11">
      <c r="A28" s="32" t="s">
        <v>968</v>
      </c>
      <c r="B28" s="39" t="s">
        <v>962</v>
      </c>
      <c r="C28" s="39" t="s">
        <v>969</v>
      </c>
      <c r="D28" s="39" t="s">
        <v>970</v>
      </c>
      <c r="E28" s="40">
        <v>0.06</v>
      </c>
      <c r="F28" s="39" t="s">
        <v>971</v>
      </c>
      <c r="I28">
        <f t="shared" si="0"/>
        <v>0</v>
      </c>
      <c r="J28" s="77">
        <v>1.03E-2</v>
      </c>
      <c r="K28" s="78">
        <v>1.03E-2</v>
      </c>
    </row>
    <row r="29" spans="1:11">
      <c r="A29" s="39" t="s">
        <v>972</v>
      </c>
      <c r="B29" s="39"/>
      <c r="C29" s="39"/>
      <c r="D29" s="39"/>
      <c r="E29" s="40">
        <v>0.02</v>
      </c>
      <c r="F29" s="39"/>
      <c r="I29">
        <f t="shared" ref="I29:I64" si="2">IF(J29=1.11%,1,0)</f>
        <v>0</v>
      </c>
      <c r="J29" s="77">
        <v>2.3E-3</v>
      </c>
      <c r="K29" s="78">
        <v>2.3E-3</v>
      </c>
    </row>
    <row r="30" spans="1:11">
      <c r="A30" s="38"/>
      <c r="I30">
        <f t="shared" si="2"/>
        <v>0</v>
      </c>
      <c r="J30" s="77">
        <v>6.0000000000000001E-3</v>
      </c>
      <c r="K30" s="78">
        <v>6.0000000000000001E-3</v>
      </c>
    </row>
    <row r="31" spans="1:11">
      <c r="A31" s="38"/>
      <c r="I31">
        <f t="shared" si="2"/>
        <v>0</v>
      </c>
      <c r="J31" s="77">
        <v>8.6E-3</v>
      </c>
      <c r="K31" s="78">
        <v>8.6E-3</v>
      </c>
    </row>
    <row r="32" spans="1:11">
      <c r="A32" s="38"/>
      <c r="I32">
        <f t="shared" si="2"/>
        <v>0</v>
      </c>
      <c r="J32" s="77">
        <v>8.5000000000000006E-3</v>
      </c>
      <c r="K32" s="78">
        <v>8.5000000000000006E-3</v>
      </c>
    </row>
    <row r="33" spans="9:11">
      <c r="I33">
        <f t="shared" si="2"/>
        <v>0</v>
      </c>
      <c r="J33" s="77">
        <v>1.1599999999999999E-2</v>
      </c>
      <c r="K33" s="78">
        <v>1.1599999999999999E-2</v>
      </c>
    </row>
    <row r="34" spans="9:11">
      <c r="I34">
        <f t="shared" si="2"/>
        <v>0</v>
      </c>
      <c r="J34" s="77">
        <v>1.15E-2</v>
      </c>
      <c r="K34" s="78">
        <v>1.15E-2</v>
      </c>
    </row>
    <row r="35" spans="9:11">
      <c r="I35">
        <f t="shared" si="2"/>
        <v>0</v>
      </c>
      <c r="J35" s="77">
        <v>3.5000000000000001E-3</v>
      </c>
      <c r="K35" s="78">
        <v>3.5000000000000001E-3</v>
      </c>
    </row>
    <row r="36" spans="9:11">
      <c r="I36">
        <f t="shared" si="2"/>
        <v>0</v>
      </c>
      <c r="J36" s="77">
        <v>1.8499999999999999E-2</v>
      </c>
      <c r="K36" s="78">
        <v>1.8499999999999999E-2</v>
      </c>
    </row>
    <row r="37" spans="9:11">
      <c r="I37">
        <f t="shared" si="2"/>
        <v>0</v>
      </c>
      <c r="J37" s="77">
        <v>9.7999999999999997E-3</v>
      </c>
      <c r="K37" s="78">
        <v>9.7999999999999997E-3</v>
      </c>
    </row>
    <row r="38" spans="9:11">
      <c r="I38">
        <f t="shared" si="2"/>
        <v>0</v>
      </c>
      <c r="J38" s="77">
        <v>5.1000000000000004E-3</v>
      </c>
      <c r="K38" s="78">
        <v>5.1000000000000004E-3</v>
      </c>
    </row>
    <row r="39" spans="9:11">
      <c r="I39">
        <f t="shared" si="2"/>
        <v>0</v>
      </c>
      <c r="J39" s="77">
        <v>5.7999999999999996E-3</v>
      </c>
      <c r="K39" s="78">
        <v>5.7999999999999996E-3</v>
      </c>
    </row>
    <row r="40" spans="9:11">
      <c r="I40">
        <f t="shared" si="2"/>
        <v>0</v>
      </c>
      <c r="J40" s="77">
        <v>1.18E-2</v>
      </c>
      <c r="K40" s="78">
        <v>1.18E-2</v>
      </c>
    </row>
    <row r="41" spans="9:11">
      <c r="I41">
        <f t="shared" si="2"/>
        <v>0</v>
      </c>
      <c r="J41" s="77">
        <v>1.34E-2</v>
      </c>
      <c r="K41" s="78">
        <v>1.34E-2</v>
      </c>
    </row>
    <row r="42" spans="9:11">
      <c r="I42">
        <f t="shared" si="2"/>
        <v>0</v>
      </c>
      <c r="J42" s="77">
        <v>2.1600000000000001E-2</v>
      </c>
      <c r="K42" s="78">
        <v>2.1600000000000001E-2</v>
      </c>
    </row>
    <row r="43" spans="9:11">
      <c r="I43">
        <f t="shared" si="2"/>
        <v>0</v>
      </c>
      <c r="J43" s="77">
        <v>7.0000000000000001E-3</v>
      </c>
      <c r="K43" s="78">
        <v>7.0000000000000001E-3</v>
      </c>
    </row>
    <row r="44" spans="9:11">
      <c r="I44">
        <f t="shared" si="2"/>
        <v>0</v>
      </c>
      <c r="J44" s="77">
        <v>1.4999999999999999E-2</v>
      </c>
      <c r="K44" s="78">
        <v>1.4999999999999999E-2</v>
      </c>
    </row>
    <row r="45" spans="9:11">
      <c r="I45">
        <f t="shared" si="2"/>
        <v>0</v>
      </c>
      <c r="J45" s="77">
        <v>2.0500000000000001E-2</v>
      </c>
      <c r="K45" s="78">
        <v>2.0500000000000001E-2</v>
      </c>
    </row>
    <row r="46" spans="9:11">
      <c r="I46">
        <f t="shared" si="2"/>
        <v>0</v>
      </c>
      <c r="J46" s="77">
        <v>1.7500000000000002E-2</v>
      </c>
      <c r="K46" s="78">
        <v>1.7500000000000002E-2</v>
      </c>
    </row>
    <row r="47" spans="9:11">
      <c r="I47">
        <f t="shared" si="2"/>
        <v>0</v>
      </c>
      <c r="J47" s="77">
        <v>8.9999999999999993E-3</v>
      </c>
      <c r="K47" s="78">
        <v>8.9999999999999993E-3</v>
      </c>
    </row>
    <row r="48" spans="9:11">
      <c r="I48">
        <f t="shared" si="2"/>
        <v>0</v>
      </c>
      <c r="J48" s="77">
        <v>3.5999999999999999E-3</v>
      </c>
      <c r="K48" s="78">
        <v>3.5999999999999999E-3</v>
      </c>
    </row>
    <row r="49" spans="9:11">
      <c r="I49">
        <f t="shared" si="2"/>
        <v>0</v>
      </c>
      <c r="J49" s="77">
        <v>1.29E-2</v>
      </c>
      <c r="K49" s="78">
        <v>1.29E-2</v>
      </c>
    </row>
    <row r="50" spans="9:11">
      <c r="I50">
        <f t="shared" si="2"/>
        <v>0</v>
      </c>
      <c r="J50" s="77">
        <v>1.17E-2</v>
      </c>
      <c r="K50" s="78">
        <v>1.17E-2</v>
      </c>
    </row>
    <row r="51" spans="9:11">
      <c r="I51">
        <f t="shared" si="2"/>
        <v>0</v>
      </c>
      <c r="J51" s="77">
        <v>7.0000000000000001E-3</v>
      </c>
      <c r="K51" s="78">
        <v>7.0000000000000001E-3</v>
      </c>
    </row>
    <row r="52" spans="9:11">
      <c r="I52">
        <f t="shared" si="2"/>
        <v>0</v>
      </c>
      <c r="J52" s="77">
        <v>5.2299999999999999E-2</v>
      </c>
      <c r="K52" s="78">
        <v>5.2299999999999999E-2</v>
      </c>
    </row>
    <row r="53" spans="9:11">
      <c r="I53">
        <f t="shared" si="2"/>
        <v>0</v>
      </c>
      <c r="J53" s="77">
        <v>7.7999999999999996E-3</v>
      </c>
      <c r="K53" s="78">
        <v>7.7999999999999996E-3</v>
      </c>
    </row>
    <row r="54" spans="9:11">
      <c r="I54">
        <f t="shared" si="2"/>
        <v>0</v>
      </c>
      <c r="J54" s="77">
        <v>3.8999999999999998E-3</v>
      </c>
      <c r="K54" s="78">
        <v>3.8999999999999998E-3</v>
      </c>
    </row>
    <row r="55" spans="9:11">
      <c r="I55">
        <f t="shared" si="2"/>
        <v>0</v>
      </c>
      <c r="J55" s="77">
        <v>7.7000000000000002E-3</v>
      </c>
      <c r="K55" s="78">
        <v>7.7000000000000002E-3</v>
      </c>
    </row>
    <row r="56" spans="9:11">
      <c r="I56">
        <f t="shared" si="2"/>
        <v>0</v>
      </c>
      <c r="J56" s="77">
        <v>2.5000000000000001E-3</v>
      </c>
      <c r="K56" s="78">
        <v>2.5000000000000001E-3</v>
      </c>
    </row>
    <row r="57" spans="9:11">
      <c r="I57">
        <f t="shared" si="2"/>
        <v>0</v>
      </c>
      <c r="J57" s="77">
        <v>1.37E-2</v>
      </c>
      <c r="K57" s="78">
        <v>1.37E-2</v>
      </c>
    </row>
    <row r="58" spans="9:11">
      <c r="I58">
        <f t="shared" si="2"/>
        <v>0</v>
      </c>
      <c r="J58" s="77">
        <v>3.3000000000000002E-2</v>
      </c>
      <c r="K58" s="78">
        <v>3.3000000000000002E-2</v>
      </c>
    </row>
    <row r="59" spans="9:11">
      <c r="I59">
        <f t="shared" si="2"/>
        <v>0</v>
      </c>
      <c r="J59" s="77">
        <v>3.6799999999999999E-2</v>
      </c>
      <c r="K59" s="78">
        <v>3.6799999999999999E-2</v>
      </c>
    </row>
    <row r="60" spans="9:11">
      <c r="I60">
        <f t="shared" si="2"/>
        <v>0</v>
      </c>
      <c r="J60" s="77">
        <v>1.84E-2</v>
      </c>
      <c r="K60" s="78">
        <v>1.84E-2</v>
      </c>
    </row>
    <row r="61" spans="9:11">
      <c r="I61">
        <f t="shared" si="2"/>
        <v>0</v>
      </c>
      <c r="J61" s="77">
        <v>1.1299999999999999E-2</v>
      </c>
      <c r="K61" s="78">
        <v>1.1299999999999999E-2</v>
      </c>
    </row>
    <row r="62" spans="9:11">
      <c r="I62">
        <f t="shared" si="2"/>
        <v>0</v>
      </c>
      <c r="J62" s="77">
        <v>1.09E-2</v>
      </c>
      <c r="K62" s="78">
        <v>1.09E-2</v>
      </c>
    </row>
    <row r="63" spans="9:11">
      <c r="I63">
        <f t="shared" si="2"/>
        <v>0</v>
      </c>
      <c r="J63" s="77">
        <v>6.1999999999999998E-3</v>
      </c>
      <c r="K63" s="78">
        <v>6.1999999999999998E-3</v>
      </c>
    </row>
    <row r="64" spans="9:11">
      <c r="I64">
        <f t="shared" si="2"/>
        <v>0</v>
      </c>
      <c r="J64" s="77">
        <v>8.6E-3</v>
      </c>
      <c r="K64" s="78">
        <v>8.6E-3</v>
      </c>
    </row>
    <row r="65" spans="9:11">
      <c r="I65">
        <f t="shared" ref="I65:I81" si="3">IF(J65=1.11%,1,0)</f>
        <v>0</v>
      </c>
      <c r="J65" s="77">
        <v>1.9599999999999999E-2</v>
      </c>
      <c r="K65" s="78">
        <v>1.9599999999999999E-2</v>
      </c>
    </row>
    <row r="66" spans="9:11">
      <c r="I66">
        <f t="shared" si="3"/>
        <v>0</v>
      </c>
      <c r="J66" s="77">
        <v>7.3000000000000001E-3</v>
      </c>
      <c r="K66" s="78">
        <v>7.3000000000000001E-3</v>
      </c>
    </row>
    <row r="67" spans="9:11">
      <c r="I67">
        <f t="shared" si="3"/>
        <v>0</v>
      </c>
      <c r="J67" s="77">
        <v>1.4999999999999999E-2</v>
      </c>
      <c r="K67" s="78">
        <v>1.4999999999999999E-2</v>
      </c>
    </row>
    <row r="68" spans="9:11">
      <c r="I68">
        <f t="shared" si="3"/>
        <v>0</v>
      </c>
      <c r="J68" s="77">
        <v>1.1599999999999999E-2</v>
      </c>
      <c r="K68" s="78">
        <v>1.1599999999999999E-2</v>
      </c>
    </row>
    <row r="69" spans="9:11">
      <c r="I69">
        <f t="shared" si="3"/>
        <v>0</v>
      </c>
      <c r="J69" s="77">
        <v>1.55E-2</v>
      </c>
      <c r="K69" s="78">
        <v>1.55E-2</v>
      </c>
    </row>
    <row r="70" spans="9:11">
      <c r="I70">
        <f t="shared" si="3"/>
        <v>0</v>
      </c>
      <c r="J70" s="77">
        <v>4.4999999999999997E-3</v>
      </c>
      <c r="K70" s="78">
        <v>4.4999999999999997E-3</v>
      </c>
    </row>
    <row r="71" spans="9:11">
      <c r="I71">
        <f t="shared" si="3"/>
        <v>0</v>
      </c>
      <c r="J71" s="77">
        <v>5.7000000000000002E-3</v>
      </c>
      <c r="K71" s="78">
        <v>5.7000000000000002E-3</v>
      </c>
    </row>
    <row r="72" spans="9:11">
      <c r="I72">
        <f t="shared" si="3"/>
        <v>0</v>
      </c>
      <c r="J72" s="77">
        <v>2.2000000000000001E-3</v>
      </c>
      <c r="K72" s="78">
        <v>2.2000000000000001E-3</v>
      </c>
    </row>
    <row r="73" spans="9:11">
      <c r="I73">
        <f t="shared" si="3"/>
        <v>0</v>
      </c>
      <c r="J73" s="77">
        <v>1.7500000000000002E-2</v>
      </c>
      <c r="K73" s="78">
        <v>1.7500000000000002E-2</v>
      </c>
    </row>
    <row r="74" spans="9:11">
      <c r="I74">
        <f t="shared" si="3"/>
        <v>0</v>
      </c>
      <c r="J74" s="77">
        <v>9.4999999999999998E-3</v>
      </c>
      <c r="K74" s="78">
        <v>9.4999999999999998E-3</v>
      </c>
    </row>
    <row r="75" spans="9:11">
      <c r="I75">
        <f t="shared" si="3"/>
        <v>0</v>
      </c>
      <c r="J75" s="77">
        <v>1.01E-2</v>
      </c>
      <c r="K75" s="78">
        <v>1.01E-2</v>
      </c>
    </row>
    <row r="76" spans="9:11">
      <c r="I76">
        <f t="shared" si="3"/>
        <v>0</v>
      </c>
      <c r="J76" s="77">
        <v>8.9999999999999993E-3</v>
      </c>
      <c r="K76" s="78">
        <v>8.9999999999999993E-3</v>
      </c>
    </row>
    <row r="77" spans="9:11">
      <c r="I77">
        <f t="shared" si="3"/>
        <v>0</v>
      </c>
      <c r="J77" s="77">
        <v>1.43E-2</v>
      </c>
      <c r="K77" s="78">
        <v>1.43E-2</v>
      </c>
    </row>
    <row r="78" spans="9:11">
      <c r="I78">
        <f t="shared" si="3"/>
        <v>0</v>
      </c>
      <c r="J78" s="77">
        <v>3.5000000000000001E-3</v>
      </c>
      <c r="K78" s="78">
        <v>3.5000000000000001E-3</v>
      </c>
    </row>
    <row r="79" spans="9:11">
      <c r="I79">
        <f t="shared" si="3"/>
        <v>0</v>
      </c>
      <c r="J79" s="77">
        <v>8.2000000000000007E-3</v>
      </c>
      <c r="K79" s="78">
        <v>8.2000000000000007E-3</v>
      </c>
    </row>
    <row r="80" spans="9:11">
      <c r="I80">
        <f t="shared" si="3"/>
        <v>0</v>
      </c>
      <c r="J80" s="77">
        <v>7.7999999999999996E-3</v>
      </c>
      <c r="K80" s="78">
        <v>7.7999999999999996E-3</v>
      </c>
    </row>
    <row r="81" spans="9:11">
      <c r="I81">
        <f t="shared" si="3"/>
        <v>0</v>
      </c>
      <c r="J81" s="77">
        <v>0.01</v>
      </c>
      <c r="K81" s="78">
        <v>0.01</v>
      </c>
    </row>
    <row r="83" spans="9:11">
      <c r="J83" s="28"/>
    </row>
  </sheetData>
  <hyperlinks>
    <hyperlink ref="A23" r:id="rId1" display="https://www.justetf.com/it/etf-profile.html?isin=IE00B4L5Y983" xr:uid="{C0A39DF4-2496-7947-99D7-E7AF3094D9F7}"/>
    <hyperlink ref="A24" r:id="rId2" display="https://www.justetf.com/it/etf-profile.html?isin=IE00B3WJKG14" xr:uid="{9EA9EF09-E69E-0247-AB0E-A8D793531260}"/>
    <hyperlink ref="A25" r:id="rId3" display="https://www.justetf.com/it/etf-profile.html?isin=LU0380865021" xr:uid="{DBC8583C-15EA-374A-9257-BD048DAB03AA}"/>
    <hyperlink ref="A26" r:id="rId4" display="https://www.justetf.com/it/etf-profile.html?isin=IE00BDBRDM35" xr:uid="{C85CE370-5006-664D-B20A-BA3EDAB38ECE}"/>
    <hyperlink ref="A27" r:id="rId5" display="https://www.justetf.com/it/etf-profile.html?isin=IE00B4WXJJ64" xr:uid="{36B21182-4AAE-534A-98E2-986FAAC4CEE1}"/>
    <hyperlink ref="A28" r:id="rId6" display="https://www.justetf.com/it/etf-profile.html?query=ultrashort&amp;groupField=none&amp;sortField=fundSize&amp;sortOrder=desc&amp;assetClass=class-bonds&amp;currency=EUR&amp;from=search&amp;isin=IE00BCRY6557" xr:uid="{B87C83AD-44DE-574B-B3DA-4C21E9B6EE7E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showGridLines="0" workbookViewId="0">
      <selection activeCell="L10" sqref="L10"/>
    </sheetView>
  </sheetViews>
  <sheetFormatPr baseColWidth="10" defaultColWidth="8.83203125" defaultRowHeight="15" customHeight="1"/>
  <cols>
    <col min="1" max="1" width="23.6640625" style="9" customWidth="1"/>
    <col min="2" max="2" width="24.1640625" style="9" customWidth="1"/>
    <col min="3" max="5" width="8.83203125" style="1" customWidth="1"/>
    <col min="6" max="7" width="8.83203125" style="1"/>
    <col min="8" max="8" width="9.1640625" style="1" bestFit="1" customWidth="1"/>
    <col min="9" max="11" width="8.83203125" style="1"/>
    <col min="12" max="12" width="21" style="1" customWidth="1"/>
    <col min="13" max="16384" width="8.83203125" style="1"/>
  </cols>
  <sheetData>
    <row r="1" spans="1:16" ht="16" customHeight="1">
      <c r="A1" s="4" t="s">
        <v>0</v>
      </c>
      <c r="B1" s="4" t="s">
        <v>1</v>
      </c>
      <c r="C1" s="2"/>
      <c r="D1" s="3"/>
    </row>
    <row r="2" spans="1:16" ht="16" customHeight="1">
      <c r="A2" s="20" t="s">
        <v>60</v>
      </c>
      <c r="B2" s="20" t="s">
        <v>63</v>
      </c>
      <c r="H2" s="27"/>
    </row>
    <row r="3" spans="1:16" ht="16" customHeight="1">
      <c r="A3" s="17" t="s">
        <v>54</v>
      </c>
      <c r="B3" s="19" t="s">
        <v>57</v>
      </c>
      <c r="H3" s="27"/>
    </row>
    <row r="4" spans="1:16" ht="16" customHeight="1">
      <c r="A4" s="19" t="s">
        <v>58</v>
      </c>
      <c r="B4" s="19" t="s">
        <v>61</v>
      </c>
      <c r="H4" s="27"/>
    </row>
    <row r="5" spans="1:16" ht="16" customHeight="1">
      <c r="A5" s="19" t="s">
        <v>59</v>
      </c>
      <c r="B5" s="19" t="s">
        <v>62</v>
      </c>
      <c r="H5" s="27"/>
    </row>
    <row r="6" spans="1:16" ht="16" customHeight="1">
      <c r="A6" s="5" t="s">
        <v>2</v>
      </c>
      <c r="B6" s="6" t="s">
        <v>33</v>
      </c>
      <c r="H6" s="27">
        <v>258000</v>
      </c>
      <c r="L6" s="1" t="s">
        <v>999</v>
      </c>
      <c r="M6" s="1">
        <v>3</v>
      </c>
      <c r="N6" s="1">
        <v>742.77</v>
      </c>
      <c r="O6" s="1">
        <v>1956.9</v>
      </c>
      <c r="P6" s="37">
        <f>O6/$O$18</f>
        <v>7.718710605742668E-2</v>
      </c>
    </row>
    <row r="7" spans="1:16" ht="16" customHeight="1">
      <c r="A7" s="7" t="s">
        <v>3</v>
      </c>
      <c r="B7" s="8" t="s">
        <v>32</v>
      </c>
      <c r="H7" s="27"/>
      <c r="L7" s="1" t="s">
        <v>1000</v>
      </c>
      <c r="M7" s="1">
        <v>8</v>
      </c>
      <c r="N7" s="1">
        <v>251.49</v>
      </c>
      <c r="O7" s="1">
        <v>2074</v>
      </c>
      <c r="P7" s="37">
        <f t="shared" ref="P7:P17" si="0">O7/$O$18</f>
        <v>8.1805947142471733E-2</v>
      </c>
    </row>
    <row r="8" spans="1:16" ht="16" customHeight="1">
      <c r="A8" s="9" t="s">
        <v>27</v>
      </c>
      <c r="B8" s="12" t="s">
        <v>31</v>
      </c>
      <c r="G8" s="34" t="s">
        <v>823</v>
      </c>
      <c r="H8" s="27">
        <v>210000</v>
      </c>
      <c r="L8" s="1" t="s">
        <v>1001</v>
      </c>
      <c r="M8" s="1">
        <v>3</v>
      </c>
      <c r="N8" s="1">
        <v>832.85</v>
      </c>
      <c r="O8" s="1">
        <v>2486.1</v>
      </c>
      <c r="P8" s="37">
        <f t="shared" si="0"/>
        <v>9.8060638954146073E-2</v>
      </c>
    </row>
    <row r="9" spans="1:16" ht="16" customHeight="1">
      <c r="A9" s="7" t="s">
        <v>18</v>
      </c>
      <c r="B9" s="11" t="s">
        <v>30</v>
      </c>
      <c r="H9" s="27">
        <f>H8/H6</f>
        <v>0.81395348837209303</v>
      </c>
      <c r="L9" s="34" t="s">
        <v>90</v>
      </c>
      <c r="M9" s="1">
        <v>7</v>
      </c>
      <c r="N9" s="1">
        <v>309.51</v>
      </c>
      <c r="O9" s="1">
        <v>2159.15</v>
      </c>
      <c r="P9" s="37">
        <f t="shared" si="0"/>
        <v>8.5164566428480165E-2</v>
      </c>
    </row>
    <row r="10" spans="1:16" ht="16" customHeight="1">
      <c r="A10" s="7" t="s">
        <v>19</v>
      </c>
      <c r="B10" s="8" t="s">
        <v>34</v>
      </c>
      <c r="G10" s="18"/>
      <c r="H10" s="27"/>
      <c r="L10" s="34" t="s">
        <v>1002</v>
      </c>
      <c r="M10" s="1">
        <v>5</v>
      </c>
      <c r="N10" s="1">
        <v>409.07</v>
      </c>
      <c r="O10" s="1">
        <v>2029.75</v>
      </c>
      <c r="P10" s="37">
        <f t="shared" si="0"/>
        <v>8.0060569533477344E-2</v>
      </c>
    </row>
    <row r="11" spans="1:16" ht="16" customHeight="1">
      <c r="A11" s="7" t="s">
        <v>4</v>
      </c>
      <c r="B11" s="11" t="s">
        <v>35</v>
      </c>
      <c r="G11" s="34" t="s">
        <v>824</v>
      </c>
      <c r="H11" s="27">
        <v>167000</v>
      </c>
      <c r="L11" s="1" t="s">
        <v>1003</v>
      </c>
      <c r="M11" s="1">
        <v>15</v>
      </c>
      <c r="N11" s="1">
        <v>140.94999999999999</v>
      </c>
      <c r="O11" s="1">
        <v>2098.5</v>
      </c>
      <c r="P11" s="37">
        <f t="shared" si="0"/>
        <v>8.2772314406208747E-2</v>
      </c>
    </row>
    <row r="12" spans="1:16" ht="16" customHeight="1">
      <c r="A12" s="7" t="s">
        <v>5</v>
      </c>
      <c r="B12" s="11" t="s">
        <v>36</v>
      </c>
      <c r="G12" s="34" t="s">
        <v>825</v>
      </c>
      <c r="H12" s="27">
        <f>4/6*H8</f>
        <v>140000</v>
      </c>
      <c r="L12" s="1" t="s">
        <v>1004</v>
      </c>
      <c r="M12" s="1">
        <v>21</v>
      </c>
      <c r="N12" s="1">
        <v>99.12</v>
      </c>
      <c r="O12" s="1">
        <v>2070.39</v>
      </c>
      <c r="P12" s="37">
        <f t="shared" si="0"/>
        <v>8.1663555884427211E-2</v>
      </c>
    </row>
    <row r="13" spans="1:16" ht="16" customHeight="1">
      <c r="A13" s="7" t="s">
        <v>6</v>
      </c>
      <c r="B13" s="11" t="s">
        <v>37</v>
      </c>
      <c r="G13" s="34" t="s">
        <v>822</v>
      </c>
      <c r="H13" s="27">
        <f>SUM(H11:H12)</f>
        <v>307000</v>
      </c>
      <c r="L13" s="1" t="s">
        <v>1005</v>
      </c>
      <c r="M13" s="1">
        <v>44</v>
      </c>
      <c r="N13" s="1">
        <v>47.94</v>
      </c>
      <c r="O13" s="1">
        <v>2089.34</v>
      </c>
      <c r="P13" s="37">
        <f t="shared" si="0"/>
        <v>8.2411011380256458E-2</v>
      </c>
    </row>
    <row r="14" spans="1:16" ht="16" customHeight="1">
      <c r="A14" s="7" t="s">
        <v>7</v>
      </c>
      <c r="B14" s="11" t="s">
        <v>38</v>
      </c>
      <c r="H14" s="27"/>
      <c r="L14" s="1" t="s">
        <v>1006</v>
      </c>
      <c r="M14" s="1">
        <v>10</v>
      </c>
      <c r="N14" s="1">
        <v>220</v>
      </c>
      <c r="O14" s="1">
        <v>2182</v>
      </c>
      <c r="P14" s="37">
        <f t="shared" si="0"/>
        <v>8.6065851815271613E-2</v>
      </c>
    </row>
    <row r="15" spans="1:16" ht="16" customHeight="1">
      <c r="A15" s="7" t="s">
        <v>8</v>
      </c>
      <c r="B15" s="11" t="s">
        <v>39</v>
      </c>
      <c r="G15" s="1" t="s">
        <v>826</v>
      </c>
      <c r="H15" s="27">
        <f>H13*2/3</f>
        <v>204666.66666666666</v>
      </c>
      <c r="L15" s="1" t="s">
        <v>1007</v>
      </c>
      <c r="M15" s="1">
        <v>21</v>
      </c>
      <c r="N15" s="1">
        <v>96.21</v>
      </c>
      <c r="O15" s="1">
        <v>2017.05</v>
      </c>
      <c r="P15" s="37">
        <f t="shared" si="0"/>
        <v>7.9559636298805497E-2</v>
      </c>
    </row>
    <row r="16" spans="1:16" ht="16" customHeight="1">
      <c r="A16" s="7" t="s">
        <v>9</v>
      </c>
      <c r="B16" s="11" t="s">
        <v>40</v>
      </c>
      <c r="L16" s="1" t="s">
        <v>334</v>
      </c>
      <c r="M16" s="1">
        <v>17</v>
      </c>
      <c r="N16" s="1">
        <v>251.49</v>
      </c>
      <c r="O16" s="1">
        <v>2135.54</v>
      </c>
      <c r="P16" s="37">
        <f t="shared" si="0"/>
        <v>8.4233303934731954E-2</v>
      </c>
    </row>
    <row r="17" spans="1:16" ht="16" customHeight="1">
      <c r="A17" s="7" t="s">
        <v>10</v>
      </c>
      <c r="B17" s="11" t="s">
        <v>41</v>
      </c>
      <c r="L17" s="1" t="s">
        <v>1008</v>
      </c>
      <c r="M17" s="1">
        <v>16</v>
      </c>
      <c r="N17" s="1">
        <v>128.37</v>
      </c>
      <c r="O17" s="1">
        <v>2053.96</v>
      </c>
      <c r="P17" s="37">
        <f t="shared" si="0"/>
        <v>8.1015498164296651E-2</v>
      </c>
    </row>
    <row r="18" spans="1:16" ht="16" customHeight="1">
      <c r="A18" s="7" t="s">
        <v>11</v>
      </c>
      <c r="B18" s="11" t="s">
        <v>42</v>
      </c>
      <c r="O18" s="1">
        <f>SUM(O6:O17)</f>
        <v>25352.679999999997</v>
      </c>
    </row>
    <row r="19" spans="1:16" ht="16" customHeight="1">
      <c r="A19" s="7" t="s">
        <v>12</v>
      </c>
      <c r="B19" s="11" t="s">
        <v>43</v>
      </c>
      <c r="G19" s="1" t="s">
        <v>827</v>
      </c>
      <c r="H19" s="27">
        <f>1/3*H13</f>
        <v>102333.33333333333</v>
      </c>
    </row>
    <row r="20" spans="1:16" ht="16" customHeight="1">
      <c r="A20" s="7" t="s">
        <v>13</v>
      </c>
      <c r="B20" s="11" t="s">
        <v>44</v>
      </c>
      <c r="G20" s="1" t="s">
        <v>828</v>
      </c>
      <c r="H20" s="27">
        <f>1/6*H8</f>
        <v>35000</v>
      </c>
    </row>
    <row r="21" spans="1:16" ht="16" customHeight="1">
      <c r="A21" s="7" t="s">
        <v>14</v>
      </c>
      <c r="B21" s="11" t="s">
        <v>45</v>
      </c>
      <c r="G21" s="1" t="s">
        <v>822</v>
      </c>
      <c r="H21" s="27">
        <f>SUM(H19:H20)</f>
        <v>137333.33333333331</v>
      </c>
      <c r="J21" s="1">
        <f>H21*0.05</f>
        <v>6866.6666666666661</v>
      </c>
      <c r="K21" s="1">
        <f>J21/12</f>
        <v>572.22222222222217</v>
      </c>
    </row>
    <row r="22" spans="1:16" ht="16" customHeight="1">
      <c r="A22" s="7" t="s">
        <v>16</v>
      </c>
      <c r="B22" s="11" t="s">
        <v>46</v>
      </c>
      <c r="H22" s="27"/>
    </row>
    <row r="23" spans="1:16" ht="16" customHeight="1">
      <c r="A23" s="7" t="s">
        <v>17</v>
      </c>
      <c r="B23" s="11" t="s">
        <v>47</v>
      </c>
      <c r="G23" s="1" t="s">
        <v>829</v>
      </c>
      <c r="H23" s="27">
        <f>70000/3</f>
        <v>23333.333333333332</v>
      </c>
    </row>
    <row r="24" spans="1:16" ht="16" customHeight="1">
      <c r="A24" s="9" t="s">
        <v>26</v>
      </c>
      <c r="B24" s="12" t="s">
        <v>48</v>
      </c>
      <c r="H24" s="27"/>
    </row>
    <row r="25" spans="1:16" ht="16" customHeight="1">
      <c r="A25" s="10" t="s">
        <v>23</v>
      </c>
      <c r="B25" s="12" t="s">
        <v>49</v>
      </c>
      <c r="H25" s="27"/>
    </row>
    <row r="26" spans="1:16" ht="13.5" customHeight="1">
      <c r="A26" s="9" t="s">
        <v>25</v>
      </c>
      <c r="B26" s="12" t="s">
        <v>50</v>
      </c>
      <c r="H26" s="27"/>
    </row>
    <row r="27" spans="1:16" ht="13.5" customHeight="1">
      <c r="A27" s="13" t="s">
        <v>20</v>
      </c>
      <c r="B27" s="14" t="s">
        <v>51</v>
      </c>
      <c r="H27" s="27"/>
    </row>
    <row r="28" spans="1:16" ht="13.5" customHeight="1">
      <c r="A28" s="10" t="s">
        <v>21</v>
      </c>
      <c r="B28" s="12" t="s">
        <v>52</v>
      </c>
      <c r="H28" s="27"/>
    </row>
    <row r="29" spans="1:16" ht="13.5" customHeight="1">
      <c r="A29" s="10" t="s">
        <v>22</v>
      </c>
      <c r="B29" s="12" t="s">
        <v>53</v>
      </c>
      <c r="H29" s="27"/>
    </row>
    <row r="30" spans="1:16" ht="13.5" customHeight="1">
      <c r="A30" s="1" t="s">
        <v>56</v>
      </c>
      <c r="B30" s="18" t="s">
        <v>55</v>
      </c>
      <c r="H30" s="27"/>
    </row>
    <row r="31" spans="1:16" ht="13.5" customHeight="1">
      <c r="H31" s="27"/>
    </row>
    <row r="32" spans="1:16" ht="13.5" customHeight="1">
      <c r="H32" s="27"/>
    </row>
    <row r="33" spans="8:9" ht="13.5" customHeight="1">
      <c r="H33" s="27"/>
    </row>
    <row r="34" spans="8:9" ht="13.5" customHeight="1">
      <c r="H34" s="27"/>
    </row>
    <row r="35" spans="8:9" ht="15" customHeight="1">
      <c r="H35" s="27"/>
    </row>
    <row r="36" spans="8:9" ht="15" customHeight="1">
      <c r="H36" s="27"/>
    </row>
    <row r="37" spans="8:9" ht="15" customHeight="1">
      <c r="H37" s="27"/>
    </row>
    <row r="38" spans="8:9" ht="15" customHeight="1">
      <c r="H38" s="27"/>
    </row>
    <row r="39" spans="8:9" ht="15" customHeight="1">
      <c r="H39" s="27"/>
    </row>
    <row r="40" spans="8:9" ht="15" customHeight="1">
      <c r="H40" s="27"/>
    </row>
    <row r="41" spans="8:9" ht="15" customHeight="1">
      <c r="H41" s="27"/>
    </row>
    <row r="42" spans="8:9" ht="15" customHeight="1">
      <c r="H42" s="27"/>
      <c r="I42" s="27"/>
    </row>
    <row r="43" spans="8:9" ht="15" customHeight="1">
      <c r="H43" s="27"/>
      <c r="I43" s="27"/>
    </row>
    <row r="44" spans="8:9" ht="15" customHeight="1">
      <c r="H44" s="27"/>
      <c r="I44" s="27"/>
    </row>
    <row r="45" spans="8:9" ht="15" customHeight="1">
      <c r="H45" s="27"/>
      <c r="I45" s="27"/>
    </row>
    <row r="46" spans="8:9" ht="15" customHeight="1">
      <c r="H46" s="27"/>
      <c r="I46" s="27"/>
    </row>
    <row r="47" spans="8:9" ht="15" customHeight="1">
      <c r="H47" s="27"/>
      <c r="I47" s="27"/>
    </row>
    <row r="48" spans="8:9" ht="15" customHeight="1">
      <c r="H48" s="27"/>
      <c r="I48" s="27"/>
    </row>
    <row r="49" spans="8:9" ht="15" customHeight="1">
      <c r="H49" s="27"/>
      <c r="I49" s="27"/>
    </row>
    <row r="50" spans="8:9" ht="15" customHeight="1">
      <c r="H50" s="27"/>
      <c r="I50" s="27"/>
    </row>
    <row r="51" spans="8:9" ht="15" customHeight="1">
      <c r="H51" s="27"/>
      <c r="I51" s="27"/>
    </row>
    <row r="52" spans="8:9" ht="15" customHeight="1">
      <c r="H52" s="27"/>
      <c r="I52" s="27"/>
    </row>
    <row r="53" spans="8:9" ht="15" customHeight="1">
      <c r="H53" s="27"/>
      <c r="I53" s="27"/>
    </row>
    <row r="54" spans="8:9" ht="15" customHeight="1">
      <c r="H54" s="27"/>
      <c r="I54" s="27"/>
    </row>
    <row r="55" spans="8:9" ht="15" customHeight="1">
      <c r="H55" s="27"/>
      <c r="I55" s="27"/>
    </row>
    <row r="56" spans="8:9" ht="15" customHeight="1">
      <c r="H56" s="27"/>
      <c r="I56" s="27"/>
    </row>
    <row r="57" spans="8:9" ht="15" customHeight="1">
      <c r="H57" s="27"/>
      <c r="I57" s="27"/>
    </row>
    <row r="58" spans="8:9" ht="15" customHeight="1">
      <c r="H58" s="27"/>
      <c r="I58" s="27"/>
    </row>
    <row r="59" spans="8:9" ht="15" customHeight="1">
      <c r="H59" s="27"/>
      <c r="I59" s="27"/>
    </row>
    <row r="60" spans="8:9" ht="15" customHeight="1">
      <c r="H60" s="27"/>
      <c r="I60" s="27"/>
    </row>
    <row r="61" spans="8:9" ht="15" customHeight="1">
      <c r="H61" s="27"/>
      <c r="I61" s="27"/>
    </row>
    <row r="62" spans="8:9" ht="15" customHeight="1">
      <c r="H62" s="27"/>
      <c r="I62" s="27"/>
    </row>
    <row r="63" spans="8:9" ht="15" customHeight="1">
      <c r="H63" s="27"/>
      <c r="I63" s="27"/>
    </row>
    <row r="64" spans="8:9" ht="15" customHeight="1">
      <c r="H64" s="27"/>
      <c r="I64" s="27"/>
    </row>
    <row r="65" spans="8:9" ht="15" customHeight="1">
      <c r="H65" s="27"/>
      <c r="I65" s="27"/>
    </row>
    <row r="66" spans="8:9" ht="15" customHeight="1">
      <c r="H66" s="27"/>
      <c r="I66" s="27"/>
    </row>
    <row r="67" spans="8:9" ht="15" customHeight="1">
      <c r="H67" s="27"/>
      <c r="I67" s="27"/>
    </row>
    <row r="68" spans="8:9" ht="15" customHeight="1">
      <c r="H68" s="27"/>
      <c r="I68" s="27"/>
    </row>
    <row r="69" spans="8:9" ht="15" customHeight="1">
      <c r="H69" s="27"/>
      <c r="I69" s="27"/>
    </row>
    <row r="70" spans="8:9" ht="15" customHeight="1">
      <c r="H70" s="27"/>
      <c r="I70" s="27"/>
    </row>
    <row r="71" spans="8:9" ht="15" customHeight="1">
      <c r="H71" s="27"/>
      <c r="I71" s="27"/>
    </row>
    <row r="72" spans="8:9" ht="15" customHeight="1">
      <c r="H72" s="27"/>
      <c r="I72" s="27"/>
    </row>
    <row r="73" spans="8:9" ht="15" customHeight="1">
      <c r="H73" s="27"/>
      <c r="I73" s="27"/>
    </row>
    <row r="74" spans="8:9" ht="15" customHeight="1">
      <c r="H74" s="27"/>
      <c r="I74" s="27"/>
    </row>
    <row r="75" spans="8:9" ht="15" customHeight="1">
      <c r="H75" s="27"/>
      <c r="I75" s="27"/>
    </row>
    <row r="76" spans="8:9" ht="15" customHeight="1">
      <c r="H76" s="27"/>
      <c r="I76" s="27"/>
    </row>
    <row r="77" spans="8:9" ht="15" customHeight="1">
      <c r="H77" s="27"/>
      <c r="I77" s="27"/>
    </row>
    <row r="78" spans="8:9" ht="15" customHeight="1">
      <c r="H78" s="27"/>
      <c r="I78" s="27"/>
    </row>
    <row r="79" spans="8:9" ht="15" customHeight="1">
      <c r="H79" s="27"/>
      <c r="I79" s="27"/>
    </row>
    <row r="80" spans="8:9" ht="15" customHeight="1">
      <c r="H80" s="27"/>
      <c r="I80" s="27"/>
    </row>
    <row r="81" spans="8:9" ht="15" customHeight="1">
      <c r="H81" s="27"/>
      <c r="I81" s="27"/>
    </row>
    <row r="82" spans="8:9" ht="15" customHeight="1">
      <c r="H82" s="27"/>
      <c r="I82" s="27"/>
    </row>
    <row r="83" spans="8:9" ht="15" customHeight="1">
      <c r="H83" s="27"/>
      <c r="I83" s="27"/>
    </row>
    <row r="84" spans="8:9" ht="15" customHeight="1">
      <c r="H84" s="27"/>
      <c r="I84" s="27"/>
    </row>
    <row r="85" spans="8:9" ht="15" customHeight="1">
      <c r="H85" s="27"/>
      <c r="I85" s="27"/>
    </row>
    <row r="86" spans="8:9" ht="15" customHeight="1">
      <c r="H86" s="27"/>
      <c r="I86" s="27"/>
    </row>
    <row r="87" spans="8:9" ht="15" customHeight="1">
      <c r="H87" s="27"/>
      <c r="I87" s="27"/>
    </row>
    <row r="88" spans="8:9" ht="15" customHeight="1">
      <c r="H88" s="27"/>
      <c r="I88" s="27"/>
    </row>
    <row r="89" spans="8:9" ht="15" customHeight="1">
      <c r="H89" s="27"/>
      <c r="I89" s="27"/>
    </row>
    <row r="90" spans="8:9" ht="15" customHeight="1">
      <c r="H90" s="27"/>
      <c r="I90" s="27"/>
    </row>
    <row r="91" spans="8:9" ht="15" customHeight="1">
      <c r="H91" s="27"/>
      <c r="I91" s="27"/>
    </row>
    <row r="92" spans="8:9" ht="15" customHeight="1">
      <c r="H92" s="27"/>
      <c r="I92" s="27"/>
    </row>
    <row r="93" spans="8:9" ht="15" customHeight="1">
      <c r="H93" s="27"/>
      <c r="I93" s="27"/>
    </row>
    <row r="94" spans="8:9" ht="15" customHeight="1">
      <c r="H94" s="27"/>
      <c r="I94" s="27"/>
    </row>
    <row r="95" spans="8:9" ht="15" customHeight="1">
      <c r="H95" s="27"/>
      <c r="I95" s="27"/>
    </row>
    <row r="96" spans="8:9" ht="15" customHeight="1">
      <c r="H96" s="27"/>
      <c r="I96" s="27"/>
    </row>
    <row r="97" spans="8:9" ht="15" customHeight="1">
      <c r="H97" s="27"/>
      <c r="I97" s="27"/>
    </row>
    <row r="98" spans="8:9" ht="15" customHeight="1">
      <c r="H98" s="27"/>
      <c r="I98" s="27"/>
    </row>
    <row r="99" spans="8:9" ht="15" customHeight="1">
      <c r="H99" s="27"/>
      <c r="I99" s="27"/>
    </row>
    <row r="100" spans="8:9" ht="15" customHeight="1">
      <c r="H100" s="27"/>
      <c r="I100" s="27"/>
    </row>
    <row r="101" spans="8:9" ht="15" customHeight="1">
      <c r="H101" s="27"/>
      <c r="I101" s="27"/>
    </row>
    <row r="102" spans="8:9" ht="15" customHeight="1">
      <c r="H102" s="27"/>
      <c r="I102" s="27"/>
    </row>
    <row r="103" spans="8:9" ht="15" customHeight="1">
      <c r="H103" s="27"/>
      <c r="I103" s="27"/>
    </row>
    <row r="104" spans="8:9" ht="15" customHeight="1">
      <c r="H104" s="27"/>
      <c r="I104" s="27"/>
    </row>
    <row r="105" spans="8:9" ht="15" customHeight="1">
      <c r="H105" s="27"/>
      <c r="I105" s="27"/>
    </row>
    <row r="106" spans="8:9" ht="15" customHeight="1">
      <c r="H106" s="27"/>
      <c r="I106" s="27"/>
    </row>
    <row r="107" spans="8:9" ht="15" customHeight="1">
      <c r="H107" s="27"/>
      <c r="I107" s="27"/>
    </row>
    <row r="108" spans="8:9" ht="15" customHeight="1">
      <c r="H108" s="27"/>
      <c r="I108" s="27"/>
    </row>
    <row r="109" spans="8:9" ht="15" customHeight="1">
      <c r="H109" s="27"/>
      <c r="I109" s="27"/>
    </row>
    <row r="110" spans="8:9" ht="15" customHeight="1">
      <c r="H110" s="27"/>
      <c r="I110" s="27"/>
    </row>
    <row r="111" spans="8:9" ht="15" customHeight="1">
      <c r="H111" s="27"/>
      <c r="I111" s="27"/>
    </row>
    <row r="112" spans="8:9" ht="15" customHeight="1">
      <c r="H112" s="27"/>
      <c r="I112" s="27"/>
    </row>
    <row r="113" spans="8:9" ht="15" customHeight="1">
      <c r="H113" s="27"/>
      <c r="I113" s="27"/>
    </row>
    <row r="114" spans="8:9" ht="15" customHeight="1">
      <c r="H114" s="27"/>
      <c r="I114" s="27"/>
    </row>
    <row r="115" spans="8:9" ht="15" customHeight="1">
      <c r="H115" s="27"/>
      <c r="I115" s="27"/>
    </row>
    <row r="116" spans="8:9" ht="15" customHeight="1">
      <c r="H116" s="27"/>
      <c r="I116" s="27"/>
    </row>
    <row r="117" spans="8:9" ht="15" customHeight="1">
      <c r="H117" s="27"/>
      <c r="I117" s="27"/>
    </row>
    <row r="118" spans="8:9" ht="15" customHeight="1">
      <c r="H118" s="27"/>
      <c r="I118" s="27"/>
    </row>
    <row r="119" spans="8:9" ht="15" customHeight="1">
      <c r="H119" s="27"/>
      <c r="I119" s="27"/>
    </row>
    <row r="120" spans="8:9" ht="15" customHeight="1">
      <c r="H120" s="27"/>
      <c r="I120" s="27"/>
    </row>
    <row r="121" spans="8:9" ht="15" customHeight="1">
      <c r="H121" s="27"/>
      <c r="I121" s="27"/>
    </row>
    <row r="122" spans="8:9" ht="15" customHeight="1">
      <c r="H122" s="27"/>
      <c r="I122" s="27"/>
    </row>
    <row r="123" spans="8:9" ht="15" customHeight="1">
      <c r="H123" s="27"/>
      <c r="I123" s="27"/>
    </row>
    <row r="124" spans="8:9" ht="15" customHeight="1">
      <c r="H124" s="27"/>
      <c r="I124" s="27"/>
    </row>
    <row r="125" spans="8:9" ht="15" customHeight="1">
      <c r="H125" s="27"/>
      <c r="I125" s="27"/>
    </row>
    <row r="126" spans="8:9" ht="15" customHeight="1">
      <c r="H126" s="27"/>
      <c r="I126" s="27"/>
    </row>
    <row r="127" spans="8:9" ht="15" customHeight="1">
      <c r="H127" s="27"/>
      <c r="I127" s="27"/>
    </row>
    <row r="128" spans="8:9" ht="15" customHeight="1">
      <c r="H128" s="27"/>
      <c r="I128" s="27"/>
    </row>
    <row r="129" spans="8:9" ht="15" customHeight="1">
      <c r="H129" s="27"/>
      <c r="I129" s="27"/>
    </row>
    <row r="130" spans="8:9" ht="15" customHeight="1">
      <c r="H130" s="27"/>
      <c r="I130" s="27"/>
    </row>
    <row r="131" spans="8:9" ht="15" customHeight="1">
      <c r="H131" s="27"/>
      <c r="I131" s="27"/>
    </row>
    <row r="132" spans="8:9" ht="15" customHeight="1">
      <c r="H132" s="27"/>
      <c r="I132" s="27"/>
    </row>
    <row r="133" spans="8:9" ht="15" customHeight="1">
      <c r="H133" s="27"/>
      <c r="I133" s="27"/>
    </row>
    <row r="134" spans="8:9" ht="15" customHeight="1">
      <c r="H134" s="27"/>
      <c r="I134" s="27"/>
    </row>
    <row r="135" spans="8:9" ht="15" customHeight="1">
      <c r="H135" s="27"/>
      <c r="I135" s="27"/>
    </row>
    <row r="136" spans="8:9" ht="15" customHeight="1">
      <c r="H136" s="27"/>
      <c r="I136" s="27"/>
    </row>
    <row r="137" spans="8:9" ht="15" customHeight="1">
      <c r="H137" s="27"/>
      <c r="I137" s="27"/>
    </row>
    <row r="138" spans="8:9" ht="15" customHeight="1">
      <c r="H138" s="27"/>
      <c r="I138" s="27"/>
    </row>
    <row r="139" spans="8:9" ht="15" customHeight="1">
      <c r="H139" s="27"/>
      <c r="I139" s="27"/>
    </row>
    <row r="140" spans="8:9" ht="15" customHeight="1">
      <c r="H140" s="27"/>
      <c r="I140" s="27"/>
    </row>
    <row r="141" spans="8:9" ht="15" customHeight="1">
      <c r="H141" s="27"/>
      <c r="I141" s="27"/>
    </row>
    <row r="142" spans="8:9" ht="15" customHeight="1">
      <c r="H142" s="27"/>
      <c r="I142" s="27"/>
    </row>
    <row r="143" spans="8:9" ht="15" customHeight="1">
      <c r="H143" s="27"/>
      <c r="I143" s="27"/>
    </row>
    <row r="144" spans="8:9" ht="15" customHeight="1">
      <c r="H144" s="27"/>
      <c r="I144" s="27"/>
    </row>
    <row r="145" spans="1:9" ht="15" customHeight="1">
      <c r="H145" s="27"/>
      <c r="I145" s="27"/>
    </row>
    <row r="146" spans="1:9" ht="15" customHeight="1">
      <c r="H146" s="27"/>
      <c r="I146" s="27"/>
    </row>
    <row r="147" spans="1:9" ht="15" customHeight="1">
      <c r="H147" s="27"/>
      <c r="I147" s="27"/>
    </row>
    <row r="148" spans="1:9" ht="15" customHeight="1">
      <c r="H148" s="27"/>
      <c r="I148" s="27"/>
    </row>
    <row r="149" spans="1:9" ht="15" customHeight="1">
      <c r="H149" s="27"/>
      <c r="I149" s="27"/>
    </row>
    <row r="150" spans="1:9" ht="15" customHeight="1">
      <c r="H150" s="27"/>
      <c r="I150" s="27"/>
    </row>
    <row r="151" spans="1:9" ht="15" customHeight="1">
      <c r="A151" s="27"/>
      <c r="B151" s="27"/>
      <c r="H151" s="27"/>
      <c r="I151" s="27"/>
    </row>
    <row r="152" spans="1:9" ht="15" customHeight="1">
      <c r="A152" s="27"/>
      <c r="B152" s="27"/>
      <c r="H152" s="27"/>
      <c r="I152" s="27"/>
    </row>
    <row r="153" spans="1:9" ht="15" customHeight="1">
      <c r="A153" s="27"/>
      <c r="B153" s="27"/>
      <c r="H153" s="27"/>
      <c r="I153" s="27"/>
    </row>
    <row r="154" spans="1:9" ht="15" customHeight="1">
      <c r="A154" s="27"/>
      <c r="B154" s="27"/>
      <c r="H154" s="27"/>
      <c r="I154" s="27"/>
    </row>
    <row r="155" spans="1:9" ht="15" customHeight="1">
      <c r="A155" s="27"/>
      <c r="B155" s="27"/>
      <c r="H155" s="27"/>
      <c r="I155" s="2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7D91-8030-674E-A203-C6D84C43D382}">
  <dimension ref="B1:AH202"/>
  <sheetViews>
    <sheetView topLeftCell="B1" workbookViewId="0">
      <selection activeCell="K202" sqref="K202"/>
    </sheetView>
  </sheetViews>
  <sheetFormatPr baseColWidth="10" defaultRowHeight="15"/>
  <cols>
    <col min="2" max="2" width="18.6640625" customWidth="1"/>
    <col min="11" max="11" width="20.6640625" customWidth="1"/>
  </cols>
  <sheetData>
    <row r="1" spans="2:34"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s="25" t="s">
        <v>74</v>
      </c>
      <c r="L1" s="19" t="s">
        <v>73</v>
      </c>
      <c r="N1" t="s">
        <v>64</v>
      </c>
      <c r="O1" s="19" t="s">
        <v>75</v>
      </c>
      <c r="P1" t="s">
        <v>66</v>
      </c>
      <c r="Q1" t="s">
        <v>67</v>
      </c>
      <c r="R1" t="s">
        <v>68</v>
      </c>
      <c r="S1" t="s">
        <v>71</v>
      </c>
      <c r="T1" t="s">
        <v>72</v>
      </c>
      <c r="U1" s="25" t="s">
        <v>74</v>
      </c>
    </row>
    <row r="2" spans="2:34">
      <c r="B2" s="24">
        <v>9.6189999999999998</v>
      </c>
      <c r="C2" s="24">
        <v>402.83999599999999</v>
      </c>
      <c r="D2" s="24">
        <v>42.259998000000003</v>
      </c>
      <c r="E2" s="24">
        <v>18.285999</v>
      </c>
      <c r="F2" s="24">
        <v>12.058</v>
      </c>
      <c r="G2" s="22">
        <v>1.088495</v>
      </c>
      <c r="H2" s="22">
        <v>0.83518999999999999</v>
      </c>
      <c r="I2" s="22">
        <v>12.37</v>
      </c>
      <c r="J2" s="22">
        <v>23.790001</v>
      </c>
      <c r="K2" s="22">
        <f>J2/G2</f>
        <v>21.855866127083726</v>
      </c>
      <c r="L2">
        <f>C2/H2</f>
        <v>482.33335648175864</v>
      </c>
      <c r="N2" s="21">
        <v>1</v>
      </c>
      <c r="O2" s="21">
        <v>1</v>
      </c>
      <c r="P2" s="21">
        <v>1</v>
      </c>
      <c r="Q2" s="21">
        <v>1</v>
      </c>
      <c r="R2" s="21">
        <v>1</v>
      </c>
      <c r="S2" s="21">
        <v>1</v>
      </c>
      <c r="T2" s="21">
        <v>1</v>
      </c>
      <c r="U2" s="21">
        <v>1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H2" s="21"/>
    </row>
    <row r="3" spans="2:34">
      <c r="B3" s="24">
        <v>9.6479999999999997</v>
      </c>
      <c r="C3" s="24">
        <v>404.01998900000001</v>
      </c>
      <c r="D3" s="24">
        <v>42.575001</v>
      </c>
      <c r="E3" s="24">
        <v>17.722000000000001</v>
      </c>
      <c r="F3" s="24">
        <v>12.156000000000001</v>
      </c>
      <c r="G3" s="22">
        <v>1.087796</v>
      </c>
      <c r="H3" s="22">
        <v>0.83521999999999996</v>
      </c>
      <c r="I3" s="22">
        <v>12.31</v>
      </c>
      <c r="J3" s="22">
        <v>23.85</v>
      </c>
      <c r="K3" s="22">
        <f t="shared" ref="K3:K66" si="0">J3/G3</f>
        <v>21.925066832384015</v>
      </c>
      <c r="L3">
        <f t="shared" ref="L3:L66" si="1">C3/H3</f>
        <v>483.72882474078688</v>
      </c>
      <c r="M3" s="26"/>
      <c r="N3" s="23">
        <f>N2+(B3-B2)/B$2</f>
        <v>1.0030148664102299</v>
      </c>
      <c r="O3" s="23">
        <f t="shared" ref="O3:R3" si="2">O2+(C3-C2)/C$2</f>
        <v>1.0029291853135656</v>
      </c>
      <c r="P3" s="23">
        <f t="shared" si="2"/>
        <v>1.0074539284171287</v>
      </c>
      <c r="Q3" s="23">
        <f t="shared" si="2"/>
        <v>0.96915678492599722</v>
      </c>
      <c r="R3" s="23">
        <f t="shared" si="2"/>
        <v>1.0081273843091725</v>
      </c>
      <c r="S3" s="23">
        <f>S2+(I3-I2)/I$2</f>
        <v>0.99514955537590954</v>
      </c>
      <c r="T3" s="23">
        <f t="shared" ref="T3:U3" si="3">T2+(J3-J2)/J$2</f>
        <v>1.0025220259553584</v>
      </c>
      <c r="U3" s="23">
        <f t="shared" si="3"/>
        <v>1.0031662302879196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H3" s="21"/>
    </row>
    <row r="4" spans="2:34">
      <c r="B4" s="24">
        <v>9.4580000000000002</v>
      </c>
      <c r="C4" s="24">
        <v>411.11999500000002</v>
      </c>
      <c r="D4" s="24">
        <v>42.075001</v>
      </c>
      <c r="E4" s="24">
        <v>17.681999000000001</v>
      </c>
      <c r="F4" s="24">
        <v>11.926</v>
      </c>
      <c r="G4" s="22">
        <v>1.082614</v>
      </c>
      <c r="H4" s="22">
        <v>0.83257000000000003</v>
      </c>
      <c r="I4" s="22">
        <v>12.23</v>
      </c>
      <c r="J4" s="22">
        <v>23.790001</v>
      </c>
      <c r="K4" s="22">
        <f t="shared" si="0"/>
        <v>21.974592052199583</v>
      </c>
      <c r="L4">
        <f t="shared" si="1"/>
        <v>493.79631142126186</v>
      </c>
      <c r="M4" s="26"/>
      <c r="N4" s="23">
        <f t="shared" ref="N4:N67" si="4">N3+(B4-B3)/B$2</f>
        <v>0.98326229337769011</v>
      </c>
      <c r="O4" s="23">
        <f t="shared" ref="O4:O67" si="5">O3+(C4-C3)/C$2</f>
        <v>1.0205540638521902</v>
      </c>
      <c r="P4" s="23">
        <f t="shared" ref="P4:P67" si="6">P3+(D4-D3)/D$2</f>
        <v>0.99562240869012819</v>
      </c>
      <c r="Q4" s="23">
        <f t="shared" ref="Q4:Q67" si="7">Q3+(E4-E3)/E$2</f>
        <v>0.96696926429887697</v>
      </c>
      <c r="R4" s="23">
        <f t="shared" ref="R4:R67" si="8">R3+(F4-F3)/F$2</f>
        <v>0.98905291093050263</v>
      </c>
      <c r="S4" s="23">
        <f t="shared" ref="S4:S67" si="9">S3+(I4-I3)/I$2</f>
        <v>0.9886822958771222</v>
      </c>
      <c r="T4" s="23">
        <f t="shared" ref="T4:T67" si="10">T3+(J4-J3)/J$2</f>
        <v>1</v>
      </c>
      <c r="U4" s="23">
        <f t="shared" ref="U4:U67" si="11">U3+(K4-K3)/K$2</f>
        <v>1.0054322223802759</v>
      </c>
      <c r="V4" s="21"/>
      <c r="W4" s="21"/>
      <c r="X4" s="21"/>
      <c r="Y4" s="21"/>
      <c r="AA4" s="21"/>
      <c r="AB4" s="21"/>
      <c r="AC4" s="21"/>
      <c r="AD4" s="21"/>
      <c r="AE4" s="21"/>
      <c r="AF4" s="21"/>
      <c r="AH4" s="21"/>
    </row>
    <row r="5" spans="2:34">
      <c r="B5" s="24">
        <v>9.4359999999999999</v>
      </c>
      <c r="C5" s="24">
        <v>415.42999300000002</v>
      </c>
      <c r="D5" s="24">
        <v>42.075001</v>
      </c>
      <c r="E5" s="24">
        <v>17.719999000000001</v>
      </c>
      <c r="F5" s="24">
        <v>11.916</v>
      </c>
      <c r="G5" s="22">
        <v>1.0896570000000001</v>
      </c>
      <c r="H5" s="22">
        <v>0.83047000000000004</v>
      </c>
      <c r="I5" s="22">
        <v>12.24</v>
      </c>
      <c r="J5" s="22">
        <v>23.790001</v>
      </c>
      <c r="K5" s="22">
        <f t="shared" si="0"/>
        <v>21.832559236530393</v>
      </c>
      <c r="L5">
        <f t="shared" si="1"/>
        <v>500.23479836718968</v>
      </c>
      <c r="M5" s="26"/>
      <c r="N5" s="23">
        <f t="shared" si="4"/>
        <v>0.98097515334234342</v>
      </c>
      <c r="O5" s="23">
        <f t="shared" si="5"/>
        <v>1.0312530958321229</v>
      </c>
      <c r="P5" s="23">
        <f t="shared" si="6"/>
        <v>0.99562240869012819</v>
      </c>
      <c r="Q5" s="23">
        <f t="shared" si="7"/>
        <v>0.96904735694232513</v>
      </c>
      <c r="R5" s="23">
        <f t="shared" si="8"/>
        <v>0.98822358600099525</v>
      </c>
      <c r="S5" s="23">
        <f t="shared" si="9"/>
        <v>0.98949070331447064</v>
      </c>
      <c r="T5" s="23">
        <f t="shared" si="10"/>
        <v>1</v>
      </c>
      <c r="U5" s="23">
        <f t="shared" si="11"/>
        <v>0.99893360938350317</v>
      </c>
      <c r="V5" s="21"/>
      <c r="W5" s="21"/>
      <c r="X5" s="21"/>
      <c r="Y5" s="21"/>
      <c r="Z5" s="21"/>
      <c r="AA5" s="21"/>
      <c r="AC5" s="21"/>
      <c r="AD5" s="21"/>
      <c r="AE5" s="21"/>
      <c r="AF5" s="21"/>
      <c r="AH5" s="21"/>
    </row>
    <row r="6" spans="2:34">
      <c r="B6" s="24">
        <v>9.548</v>
      </c>
      <c r="C6" s="24">
        <v>411.48998999999998</v>
      </c>
      <c r="D6" s="24">
        <v>43.18</v>
      </c>
      <c r="E6" s="24">
        <v>17.216000000000001</v>
      </c>
      <c r="F6" s="24">
        <v>12.093999999999999</v>
      </c>
      <c r="G6" s="22">
        <v>1.0820989999999999</v>
      </c>
      <c r="H6" s="22">
        <v>0.82750000000000001</v>
      </c>
      <c r="I6" s="22">
        <v>12.33</v>
      </c>
      <c r="J6" s="22">
        <v>23.74</v>
      </c>
      <c r="K6" s="22">
        <f t="shared" si="0"/>
        <v>21.938842933964452</v>
      </c>
      <c r="L6">
        <f t="shared" si="1"/>
        <v>497.26887009063438</v>
      </c>
      <c r="M6" s="26"/>
      <c r="N6" s="23">
        <f t="shared" si="4"/>
        <v>0.99261877534047216</v>
      </c>
      <c r="O6" s="23">
        <f t="shared" si="5"/>
        <v>1.0214725302499505</v>
      </c>
      <c r="P6" s="23">
        <f t="shared" si="6"/>
        <v>1.0217700436237598</v>
      </c>
      <c r="Q6" s="23">
        <f t="shared" si="7"/>
        <v>0.9414853407790299</v>
      </c>
      <c r="R6" s="23">
        <f t="shared" si="8"/>
        <v>1.0029855697462267</v>
      </c>
      <c r="S6" s="23">
        <f t="shared" si="9"/>
        <v>0.99676637025060644</v>
      </c>
      <c r="T6" s="23">
        <f t="shared" si="10"/>
        <v>0.99789823464067939</v>
      </c>
      <c r="U6" s="23">
        <f t="shared" si="11"/>
        <v>1.0037965462635179</v>
      </c>
      <c r="V6" s="21"/>
      <c r="W6" s="21"/>
      <c r="X6" s="21"/>
      <c r="Y6" s="21"/>
      <c r="Z6" s="21"/>
      <c r="AA6" s="21"/>
      <c r="AB6" s="21"/>
      <c r="AD6" s="21"/>
      <c r="AE6" s="21"/>
      <c r="AF6" s="21"/>
      <c r="AH6" s="21"/>
    </row>
    <row r="7" spans="2:34">
      <c r="B7" s="24">
        <v>9.3960000000000008</v>
      </c>
      <c r="C7" s="24">
        <v>404.85000600000001</v>
      </c>
      <c r="D7" s="24">
        <v>43.18</v>
      </c>
      <c r="E7" s="24">
        <v>17.396000000000001</v>
      </c>
      <c r="F7" s="24">
        <v>11.906000000000001</v>
      </c>
      <c r="G7" s="22">
        <v>1.0815250000000001</v>
      </c>
      <c r="H7" s="22">
        <v>0.82821</v>
      </c>
      <c r="I7" s="22">
        <v>12.2</v>
      </c>
      <c r="J7" s="22">
        <v>23.780000999999999</v>
      </c>
      <c r="K7" s="22">
        <f t="shared" si="0"/>
        <v>21.987472319178934</v>
      </c>
      <c r="L7">
        <f t="shared" si="1"/>
        <v>488.82530517622342</v>
      </c>
      <c r="M7" s="26"/>
      <c r="N7" s="23">
        <f t="shared" si="4"/>
        <v>0.97681671691444039</v>
      </c>
      <c r="O7" s="23">
        <f t="shared" si="5"/>
        <v>1.0049895988977222</v>
      </c>
      <c r="P7" s="23">
        <f t="shared" si="6"/>
        <v>1.0217700436237598</v>
      </c>
      <c r="Q7" s="23">
        <f t="shared" si="7"/>
        <v>0.95132893751115266</v>
      </c>
      <c r="R7" s="23">
        <f t="shared" si="8"/>
        <v>0.98739426107148798</v>
      </c>
      <c r="S7" s="23">
        <f t="shared" si="9"/>
        <v>0.98625707356507686</v>
      </c>
      <c r="T7" s="23">
        <f t="shared" si="10"/>
        <v>0.99957965533502913</v>
      </c>
      <c r="U7" s="23">
        <f t="shared" si="11"/>
        <v>1.0060215500648644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H7" s="21"/>
    </row>
    <row r="8" spans="2:34">
      <c r="B8" s="24">
        <v>9.4190000000000005</v>
      </c>
      <c r="C8" s="24">
        <v>406.459991</v>
      </c>
      <c r="D8" s="24">
        <v>43.25</v>
      </c>
      <c r="E8" s="24">
        <v>17.344000000000001</v>
      </c>
      <c r="F8" s="24">
        <v>11.974</v>
      </c>
      <c r="G8" s="22">
        <v>1.078179</v>
      </c>
      <c r="H8" s="22">
        <v>0.82850000000000001</v>
      </c>
      <c r="I8" s="22">
        <v>12.04</v>
      </c>
      <c r="J8" s="22">
        <v>23.27</v>
      </c>
      <c r="K8" s="22">
        <f t="shared" si="0"/>
        <v>21.582687104831386</v>
      </c>
      <c r="L8">
        <f t="shared" si="1"/>
        <v>490.59745443572723</v>
      </c>
      <c r="M8" s="21"/>
      <c r="N8" s="23">
        <f t="shared" si="4"/>
        <v>0.97920781786048461</v>
      </c>
      <c r="O8" s="23">
        <f t="shared" si="5"/>
        <v>1.0089861856715936</v>
      </c>
      <c r="P8" s="23">
        <f t="shared" si="6"/>
        <v>1.0234264563855398</v>
      </c>
      <c r="Q8" s="23">
        <f t="shared" si="7"/>
        <v>0.9484852317885395</v>
      </c>
      <c r="R8" s="23">
        <f t="shared" si="8"/>
        <v>0.9930336705921381</v>
      </c>
      <c r="S8" s="23">
        <f t="shared" si="9"/>
        <v>0.97332255456750205</v>
      </c>
      <c r="T8" s="23">
        <f t="shared" si="10"/>
        <v>0.97814203538705191</v>
      </c>
      <c r="U8" s="23">
        <f t="shared" si="11"/>
        <v>0.98750088325651775</v>
      </c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H8" s="21"/>
    </row>
    <row r="9" spans="2:34">
      <c r="B9" s="24">
        <v>9.3819999999999997</v>
      </c>
      <c r="C9" s="24">
        <v>410.85998499999999</v>
      </c>
      <c r="D9" s="24">
        <v>42.924999</v>
      </c>
      <c r="E9" s="24">
        <v>17.304001</v>
      </c>
      <c r="F9" s="24">
        <v>11.888</v>
      </c>
      <c r="G9" s="22">
        <v>1.079447</v>
      </c>
      <c r="H9" s="22">
        <v>0.82937000000000005</v>
      </c>
      <c r="I9" s="22">
        <v>12.06</v>
      </c>
      <c r="J9" s="22">
        <v>23.299999</v>
      </c>
      <c r="K9" s="22">
        <f t="shared" si="0"/>
        <v>21.585125531869558</v>
      </c>
      <c r="L9">
        <f t="shared" si="1"/>
        <v>495.3880475541676</v>
      </c>
      <c r="M9" s="21"/>
      <c r="N9" s="23">
        <f t="shared" si="4"/>
        <v>0.97536126416467417</v>
      </c>
      <c r="O9" s="23">
        <f t="shared" si="5"/>
        <v>1.0199086214865318</v>
      </c>
      <c r="P9" s="23">
        <f t="shared" si="6"/>
        <v>1.0157359448999499</v>
      </c>
      <c r="Q9" s="23">
        <f t="shared" si="7"/>
        <v>0.94629782053471623</v>
      </c>
      <c r="R9" s="23">
        <f t="shared" si="8"/>
        <v>0.98590147619837465</v>
      </c>
      <c r="S9" s="23">
        <f t="shared" si="9"/>
        <v>0.97493936944219906</v>
      </c>
      <c r="T9" s="23">
        <f t="shared" si="10"/>
        <v>0.97940302734749785</v>
      </c>
      <c r="U9" s="23">
        <f t="shared" si="11"/>
        <v>0.98761245179486779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H9" s="21"/>
    </row>
    <row r="10" spans="2:34">
      <c r="B10" s="24">
        <v>9.4450000000000003</v>
      </c>
      <c r="C10" s="24">
        <v>403.73998999999998</v>
      </c>
      <c r="D10" s="24">
        <v>43.485000999999997</v>
      </c>
      <c r="E10" s="24">
        <v>17.385999999999999</v>
      </c>
      <c r="F10" s="24">
        <v>11.965999999999999</v>
      </c>
      <c r="G10" s="22">
        <v>1.0849869999999999</v>
      </c>
      <c r="H10" s="22">
        <v>0.82994999999999997</v>
      </c>
      <c r="I10" s="22">
        <v>11.99</v>
      </c>
      <c r="J10" s="22">
        <v>23.18</v>
      </c>
      <c r="K10" s="22">
        <f t="shared" si="0"/>
        <v>21.364311277462313</v>
      </c>
      <c r="L10">
        <f t="shared" si="1"/>
        <v>486.46302789324659</v>
      </c>
      <c r="M10" s="21"/>
      <c r="N10" s="23">
        <f t="shared" si="4"/>
        <v>0.98191080153862165</v>
      </c>
      <c r="O10" s="23">
        <f t="shared" si="5"/>
        <v>1.0022341227508105</v>
      </c>
      <c r="P10" s="23">
        <f t="shared" si="6"/>
        <v>1.0289872943202691</v>
      </c>
      <c r="Q10" s="23">
        <f t="shared" si="7"/>
        <v>0.95078207102603474</v>
      </c>
      <c r="R10" s="23">
        <f t="shared" si="8"/>
        <v>0.99237021064853215</v>
      </c>
      <c r="S10" s="23">
        <f t="shared" si="9"/>
        <v>0.96928051738076004</v>
      </c>
      <c r="T10" s="23">
        <f t="shared" si="10"/>
        <v>0.97435893340231472</v>
      </c>
      <c r="U10" s="23">
        <f t="shared" si="11"/>
        <v>0.97750924869491773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H10" s="21"/>
    </row>
    <row r="11" spans="2:34">
      <c r="B11" s="24">
        <v>9.4339999999999993</v>
      </c>
      <c r="C11" s="24">
        <v>396.44000199999999</v>
      </c>
      <c r="D11" s="24">
        <v>43.875</v>
      </c>
      <c r="E11" s="24">
        <v>17.382000000000001</v>
      </c>
      <c r="F11" s="24">
        <v>12.004</v>
      </c>
      <c r="G11" s="22">
        <v>1.083518</v>
      </c>
      <c r="H11" s="22">
        <v>0.83174999999999999</v>
      </c>
      <c r="I11" s="22">
        <v>11.84</v>
      </c>
      <c r="J11" s="22">
        <v>23.040001</v>
      </c>
      <c r="K11" s="22">
        <f t="shared" si="0"/>
        <v>21.264068524934519</v>
      </c>
      <c r="L11">
        <f t="shared" si="1"/>
        <v>476.63360625187858</v>
      </c>
      <c r="M11" s="21"/>
      <c r="N11" s="23">
        <f t="shared" si="4"/>
        <v>0.98076723152094814</v>
      </c>
      <c r="O11" s="23">
        <f t="shared" si="5"/>
        <v>0.984112813862703</v>
      </c>
      <c r="P11" s="23">
        <f t="shared" si="6"/>
        <v>1.0382158560442902</v>
      </c>
      <c r="Q11" s="23">
        <f t="shared" si="7"/>
        <v>0.95056332443198766</v>
      </c>
      <c r="R11" s="23">
        <f t="shared" si="8"/>
        <v>0.99552164538066024</v>
      </c>
      <c r="S11" s="23">
        <f t="shared" si="9"/>
        <v>0.95715440582053368</v>
      </c>
      <c r="T11" s="23">
        <f t="shared" si="10"/>
        <v>0.96847415012719007</v>
      </c>
      <c r="U11" s="23">
        <f t="shared" si="11"/>
        <v>0.97292271106035677</v>
      </c>
      <c r="V11" s="21"/>
      <c r="W11" s="21"/>
      <c r="X11" s="21"/>
      <c r="Y11" s="21"/>
      <c r="Z11" s="21"/>
      <c r="AA11" s="21"/>
      <c r="AC11" s="21"/>
      <c r="AD11" s="21"/>
      <c r="AE11" s="21"/>
      <c r="AF11" s="21"/>
      <c r="AH11" s="21"/>
    </row>
    <row r="12" spans="2:34">
      <c r="B12" s="24">
        <v>9.4760000000000009</v>
      </c>
      <c r="C12" s="24">
        <v>398.51001000000002</v>
      </c>
      <c r="D12" s="24">
        <v>44.154998999999997</v>
      </c>
      <c r="E12" s="24">
        <v>17.455998999999998</v>
      </c>
      <c r="F12" s="24">
        <v>12.066000000000001</v>
      </c>
      <c r="G12" s="22">
        <v>1.081105</v>
      </c>
      <c r="H12" s="22">
        <v>0.84260000000000002</v>
      </c>
      <c r="I12" s="22">
        <v>11.84</v>
      </c>
      <c r="J12" s="22">
        <v>23.120000999999998</v>
      </c>
      <c r="K12" s="22">
        <f t="shared" si="0"/>
        <v>21.385527770198085</v>
      </c>
      <c r="L12">
        <f t="shared" si="1"/>
        <v>472.95277711844295</v>
      </c>
      <c r="M12" s="21"/>
      <c r="N12" s="23">
        <f t="shared" si="4"/>
        <v>0.98513358977024656</v>
      </c>
      <c r="O12" s="23">
        <f t="shared" si="5"/>
        <v>0.98925135030534572</v>
      </c>
      <c r="P12" s="23">
        <f t="shared" si="6"/>
        <v>1.044841483428371</v>
      </c>
      <c r="Q12" s="23">
        <f t="shared" si="7"/>
        <v>0.95461008173521167</v>
      </c>
      <c r="R12" s="23">
        <f t="shared" si="8"/>
        <v>1.0006634599436062</v>
      </c>
      <c r="S12" s="23">
        <f t="shared" si="9"/>
        <v>0.95715440582053368</v>
      </c>
      <c r="T12" s="23">
        <f t="shared" si="10"/>
        <v>0.97183690744695639</v>
      </c>
      <c r="U12" s="23">
        <f t="shared" si="11"/>
        <v>0.97847999460873347</v>
      </c>
      <c r="V12" s="21"/>
      <c r="X12" s="21"/>
      <c r="Y12" s="21"/>
      <c r="Z12" s="21"/>
      <c r="AA12" s="21"/>
      <c r="AC12" s="21"/>
      <c r="AD12" s="21"/>
      <c r="AE12" s="21"/>
      <c r="AF12" s="21"/>
      <c r="AH12" s="21"/>
    </row>
    <row r="13" spans="2:34">
      <c r="B13" s="24">
        <v>9.4949999999999992</v>
      </c>
      <c r="C13" s="24">
        <v>395.17001299999998</v>
      </c>
      <c r="D13" s="24">
        <v>44.154998999999997</v>
      </c>
      <c r="E13" s="24">
        <v>16.974001000000001</v>
      </c>
      <c r="F13" s="24">
        <v>12.11</v>
      </c>
      <c r="G13" s="22">
        <v>1.071421</v>
      </c>
      <c r="H13" s="22">
        <v>0.84087000000000001</v>
      </c>
      <c r="I13" s="22">
        <v>11.95</v>
      </c>
      <c r="J13" s="22">
        <v>22.969999000000001</v>
      </c>
      <c r="K13" s="22">
        <f t="shared" si="0"/>
        <v>21.438817234308459</v>
      </c>
      <c r="L13">
        <f t="shared" si="1"/>
        <v>469.95375385017894</v>
      </c>
      <c r="M13" s="21"/>
      <c r="N13" s="23">
        <f t="shared" si="4"/>
        <v>0.98710884707350033</v>
      </c>
      <c r="O13" s="23">
        <f t="shared" si="5"/>
        <v>0.98096022471413202</v>
      </c>
      <c r="P13" s="23">
        <f t="shared" si="6"/>
        <v>1.044841483428371</v>
      </c>
      <c r="Q13" s="23">
        <f t="shared" si="7"/>
        <v>0.92825122652582459</v>
      </c>
      <c r="R13" s="23">
        <f t="shared" si="8"/>
        <v>1.0043124896334386</v>
      </c>
      <c r="S13" s="23">
        <f t="shared" si="9"/>
        <v>0.96604688763136626</v>
      </c>
      <c r="T13" s="23">
        <f t="shared" si="10"/>
        <v>0.96553165340346148</v>
      </c>
      <c r="U13" s="23">
        <f t="shared" si="11"/>
        <v>0.98091821708870819</v>
      </c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H13" s="21"/>
    </row>
    <row r="14" spans="2:34">
      <c r="B14" s="24">
        <v>9.2949999999999999</v>
      </c>
      <c r="C14" s="24">
        <v>387.89999399999999</v>
      </c>
      <c r="D14" s="24">
        <v>42.924999</v>
      </c>
      <c r="E14" s="24">
        <v>16.722000000000001</v>
      </c>
      <c r="F14" s="24">
        <v>11.82</v>
      </c>
      <c r="G14" s="22">
        <v>1.064362</v>
      </c>
      <c r="H14" s="22">
        <v>0.84574000000000005</v>
      </c>
      <c r="I14" s="22">
        <v>11.87</v>
      </c>
      <c r="J14" s="22">
        <v>23.059999000000001</v>
      </c>
      <c r="K14" s="22">
        <f t="shared" si="0"/>
        <v>21.665560213536374</v>
      </c>
      <c r="L14">
        <f t="shared" si="1"/>
        <v>458.65158795847418</v>
      </c>
      <c r="M14" s="21"/>
      <c r="N14" s="23">
        <f t="shared" si="4"/>
        <v>0.96631666493398483</v>
      </c>
      <c r="O14" s="23">
        <f t="shared" si="5"/>
        <v>0.96291331012722992</v>
      </c>
      <c r="P14" s="23">
        <f t="shared" si="6"/>
        <v>1.0157359448999499</v>
      </c>
      <c r="Q14" s="23">
        <f t="shared" si="7"/>
        <v>0.91447013641420427</v>
      </c>
      <c r="R14" s="23">
        <f t="shared" si="8"/>
        <v>0.98026206667772453</v>
      </c>
      <c r="S14" s="23">
        <f t="shared" si="9"/>
        <v>0.95957962813257891</v>
      </c>
      <c r="T14" s="23">
        <f t="shared" si="10"/>
        <v>0.96931475538819867</v>
      </c>
      <c r="U14" s="23">
        <f t="shared" si="11"/>
        <v>0.99129268488190792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H14" s="21"/>
    </row>
    <row r="15" spans="2:34">
      <c r="B15" s="24">
        <v>9.14</v>
      </c>
      <c r="C15" s="24">
        <v>386.36999500000002</v>
      </c>
      <c r="D15" s="24">
        <v>41.354999999999997</v>
      </c>
      <c r="E15" s="24">
        <v>16.577998999999998</v>
      </c>
      <c r="F15" s="24">
        <v>11.603999999999999</v>
      </c>
      <c r="G15" s="22">
        <v>1.055509</v>
      </c>
      <c r="H15" s="22">
        <v>0.84150999999999998</v>
      </c>
      <c r="I15" s="22">
        <v>11.82</v>
      </c>
      <c r="J15" s="22">
        <v>22.93</v>
      </c>
      <c r="K15" s="22">
        <f t="shared" si="0"/>
        <v>21.724116042591774</v>
      </c>
      <c r="L15">
        <f t="shared" si="1"/>
        <v>459.13892288861695</v>
      </c>
      <c r="M15" s="21"/>
      <c r="N15" s="23">
        <f t="shared" si="4"/>
        <v>0.95020272377586035</v>
      </c>
      <c r="O15" s="23">
        <f t="shared" si="5"/>
        <v>0.95911527861300072</v>
      </c>
      <c r="P15" s="23">
        <f t="shared" si="6"/>
        <v>0.97858499662020781</v>
      </c>
      <c r="Q15" s="23">
        <f t="shared" si="7"/>
        <v>0.90659520434185736</v>
      </c>
      <c r="R15" s="23">
        <f t="shared" si="8"/>
        <v>0.96234864820036503</v>
      </c>
      <c r="S15" s="23">
        <f t="shared" si="9"/>
        <v>0.9555375909458369</v>
      </c>
      <c r="T15" s="23">
        <f t="shared" si="10"/>
        <v>0.96385031677804467</v>
      </c>
      <c r="U15" s="23">
        <f t="shared" si="11"/>
        <v>0.99397186623829614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H15" s="21"/>
    </row>
    <row r="16" spans="2:34">
      <c r="B16" s="24">
        <v>9.1180000000000003</v>
      </c>
      <c r="C16" s="24">
        <v>388.67999300000002</v>
      </c>
      <c r="D16" s="24">
        <v>42.34</v>
      </c>
      <c r="E16" s="24">
        <v>17.040001</v>
      </c>
      <c r="F16" s="24">
        <v>11.657999999999999</v>
      </c>
      <c r="G16" s="22">
        <v>1.0504199999999999</v>
      </c>
      <c r="H16" s="22">
        <v>0.84260000000000002</v>
      </c>
      <c r="I16" s="22">
        <v>11.92</v>
      </c>
      <c r="J16" s="22">
        <v>22.93</v>
      </c>
      <c r="K16" s="22">
        <f t="shared" si="0"/>
        <v>21.82936349269816</v>
      </c>
      <c r="L16">
        <f t="shared" si="1"/>
        <v>461.28648587704726</v>
      </c>
      <c r="M16" s="21"/>
      <c r="N16" s="23">
        <f t="shared" si="4"/>
        <v>0.94791558374051366</v>
      </c>
      <c r="O16" s="23">
        <f t="shared" si="5"/>
        <v>0.96484956027057478</v>
      </c>
      <c r="P16" s="23">
        <f t="shared" si="6"/>
        <v>1.0018930904823988</v>
      </c>
      <c r="Q16" s="23">
        <f t="shared" si="7"/>
        <v>0.93186054532760287</v>
      </c>
      <c r="R16" s="23">
        <f t="shared" si="8"/>
        <v>0.96682700281970491</v>
      </c>
      <c r="S16" s="23">
        <f t="shared" si="9"/>
        <v>0.96362166531932114</v>
      </c>
      <c r="T16" s="23">
        <f t="shared" si="10"/>
        <v>0.96385031677804467</v>
      </c>
      <c r="U16" s="23">
        <f t="shared" si="11"/>
        <v>0.99878739034035691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H16" s="21"/>
    </row>
    <row r="17" spans="2:34">
      <c r="B17" s="24">
        <v>9.202</v>
      </c>
      <c r="C17" s="24">
        <v>385.17999300000002</v>
      </c>
      <c r="D17" s="24">
        <v>42.450001</v>
      </c>
      <c r="E17" s="24">
        <v>17.207999999999998</v>
      </c>
      <c r="F17" s="24">
        <v>11.778</v>
      </c>
      <c r="G17" s="22">
        <v>1.053596</v>
      </c>
      <c r="H17" s="22">
        <v>0.83794999999999997</v>
      </c>
      <c r="I17" s="22">
        <v>11.9</v>
      </c>
      <c r="J17" s="22">
        <v>23.01</v>
      </c>
      <c r="K17" s="22">
        <f t="shared" si="0"/>
        <v>21.839490658658541</v>
      </c>
      <c r="L17">
        <f t="shared" si="1"/>
        <v>459.66942299659888</v>
      </c>
      <c r="M17" s="21"/>
      <c r="N17" s="23">
        <f t="shared" si="4"/>
        <v>0.95664830023911018</v>
      </c>
      <c r="O17" s="23">
        <f t="shared" si="5"/>
        <v>0.95616124720644691</v>
      </c>
      <c r="P17" s="23">
        <f t="shared" si="6"/>
        <v>1.0044960484853782</v>
      </c>
      <c r="Q17" s="23">
        <f t="shared" si="7"/>
        <v>0.94104784759093552</v>
      </c>
      <c r="R17" s="23">
        <f t="shared" si="8"/>
        <v>0.97677890197379358</v>
      </c>
      <c r="S17" s="23">
        <f t="shared" si="9"/>
        <v>0.96200485044462436</v>
      </c>
      <c r="T17" s="23">
        <f t="shared" si="10"/>
        <v>0.9672130740978111</v>
      </c>
      <c r="U17" s="23">
        <f t="shared" si="11"/>
        <v>0.9992507517967959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H17" s="21"/>
    </row>
    <row r="18" spans="2:34">
      <c r="B18" s="24">
        <v>9.1820000000000004</v>
      </c>
      <c r="C18" s="24">
        <v>391.86999500000002</v>
      </c>
      <c r="D18" s="24">
        <v>42.450001</v>
      </c>
      <c r="E18" s="24">
        <v>17.274000000000001</v>
      </c>
      <c r="F18" s="24">
        <v>11.722</v>
      </c>
      <c r="G18" s="22">
        <v>1.0509059999999999</v>
      </c>
      <c r="H18" s="22">
        <v>0.84079000000000004</v>
      </c>
      <c r="I18" s="22">
        <v>11.68</v>
      </c>
      <c r="J18" s="22">
        <v>23.129999000000002</v>
      </c>
      <c r="K18" s="22">
        <f t="shared" si="0"/>
        <v>22.009579353434088</v>
      </c>
      <c r="L18">
        <f t="shared" si="1"/>
        <v>466.07356771607652</v>
      </c>
      <c r="M18" s="21"/>
      <c r="N18" s="23">
        <f t="shared" si="4"/>
        <v>0.95456908202515867</v>
      </c>
      <c r="O18" s="23">
        <f t="shared" si="5"/>
        <v>0.97276834199948725</v>
      </c>
      <c r="P18" s="23">
        <f t="shared" si="6"/>
        <v>1.0044960484853782</v>
      </c>
      <c r="Q18" s="23">
        <f t="shared" si="7"/>
        <v>0.94465716639271402</v>
      </c>
      <c r="R18" s="23">
        <f t="shared" si="8"/>
        <v>0.97213468236855216</v>
      </c>
      <c r="S18" s="23">
        <f t="shared" si="9"/>
        <v>0.94421988682295899</v>
      </c>
      <c r="T18" s="23">
        <f t="shared" si="10"/>
        <v>0.97225716804299422</v>
      </c>
      <c r="U18" s="23">
        <f t="shared" si="11"/>
        <v>1.0070330420884066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H18" s="21"/>
    </row>
    <row r="19" spans="2:34">
      <c r="B19" s="24">
        <v>9.2550000000000008</v>
      </c>
      <c r="C19" s="24">
        <v>388.17001299999998</v>
      </c>
      <c r="D19" s="24">
        <v>42.77</v>
      </c>
      <c r="E19" s="24">
        <v>16.846001000000001</v>
      </c>
      <c r="F19" s="24">
        <v>11.772</v>
      </c>
      <c r="G19" s="22">
        <v>1.052853</v>
      </c>
      <c r="H19" s="22">
        <v>0.84197999999999995</v>
      </c>
      <c r="I19" s="22">
        <v>11.49</v>
      </c>
      <c r="J19" s="22">
        <v>22.639999</v>
      </c>
      <c r="K19" s="22">
        <f t="shared" si="0"/>
        <v>21.503475793866759</v>
      </c>
      <c r="L19">
        <f t="shared" si="1"/>
        <v>461.02046723200078</v>
      </c>
      <c r="M19" s="21"/>
      <c r="N19" s="23">
        <f t="shared" si="4"/>
        <v>0.9621582285060819</v>
      </c>
      <c r="O19" s="23">
        <f t="shared" si="5"/>
        <v>0.96358359858587639</v>
      </c>
      <c r="P19" s="23">
        <f t="shared" si="6"/>
        <v>1.0120681974476191</v>
      </c>
      <c r="Q19" s="23">
        <f t="shared" si="7"/>
        <v>0.92125133551631511</v>
      </c>
      <c r="R19" s="23">
        <f t="shared" si="8"/>
        <v>0.97628130701608917</v>
      </c>
      <c r="S19" s="23">
        <f t="shared" si="9"/>
        <v>0.92886014551333895</v>
      </c>
      <c r="T19" s="23">
        <f t="shared" si="10"/>
        <v>0.95166027945942488</v>
      </c>
      <c r="U19" s="23">
        <f t="shared" si="11"/>
        <v>0.98387662464768266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H19" s="21"/>
    </row>
    <row r="20" spans="2:34">
      <c r="B20" s="24">
        <v>9.0779999999999994</v>
      </c>
      <c r="C20" s="24">
        <v>382.01998900000001</v>
      </c>
      <c r="D20" s="24">
        <v>41.759998000000003</v>
      </c>
      <c r="E20" s="24">
        <v>17.087999</v>
      </c>
      <c r="F20" s="24">
        <v>11.504</v>
      </c>
      <c r="G20" s="22">
        <v>1.0622480000000001</v>
      </c>
      <c r="H20" s="22">
        <v>0.84172000000000002</v>
      </c>
      <c r="I20" s="22">
        <v>11.53</v>
      </c>
      <c r="J20" s="22">
        <v>22.23</v>
      </c>
      <c r="K20" s="22">
        <f t="shared" si="0"/>
        <v>20.927316408221053</v>
      </c>
      <c r="L20">
        <f t="shared" si="1"/>
        <v>453.85637622962503</v>
      </c>
      <c r="M20" s="21"/>
      <c r="N20" s="23">
        <f t="shared" si="4"/>
        <v>0.94375714731261051</v>
      </c>
      <c r="O20" s="23">
        <f t="shared" si="5"/>
        <v>0.94831693176761944</v>
      </c>
      <c r="P20" s="23">
        <f t="shared" si="6"/>
        <v>0.98816848027299931</v>
      </c>
      <c r="Q20" s="23">
        <f t="shared" si="7"/>
        <v>0.93448539508287198</v>
      </c>
      <c r="R20" s="23">
        <f t="shared" si="8"/>
        <v>0.95405539890529134</v>
      </c>
      <c r="S20" s="23">
        <f t="shared" si="9"/>
        <v>0.93209377526273263</v>
      </c>
      <c r="T20" s="23">
        <f t="shared" si="10"/>
        <v>0.93442619023008866</v>
      </c>
      <c r="U20" s="23">
        <f t="shared" si="11"/>
        <v>0.95751485146077009</v>
      </c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H20" s="21"/>
    </row>
    <row r="21" spans="2:34">
      <c r="B21" s="24">
        <v>9.1829999999999998</v>
      </c>
      <c r="C21" s="24">
        <v>374.89001500000001</v>
      </c>
      <c r="D21" s="24">
        <v>42.869999</v>
      </c>
      <c r="E21" s="24">
        <v>16.872</v>
      </c>
      <c r="F21" s="24">
        <v>11.696</v>
      </c>
      <c r="G21" s="22">
        <v>1.053974</v>
      </c>
      <c r="H21" s="22">
        <v>0.85238999999999998</v>
      </c>
      <c r="I21" s="22">
        <v>11.35</v>
      </c>
      <c r="J21" s="22">
        <v>22.290001</v>
      </c>
      <c r="K21" s="22">
        <f t="shared" si="0"/>
        <v>21.14853022939845</v>
      </c>
      <c r="L21">
        <f t="shared" si="1"/>
        <v>439.81043301775009</v>
      </c>
      <c r="M21" s="21"/>
      <c r="N21" s="23">
        <f t="shared" si="4"/>
        <v>0.9546730429358562</v>
      </c>
      <c r="O21" s="23">
        <f t="shared" si="5"/>
        <v>0.93061766141016466</v>
      </c>
      <c r="P21" s="23">
        <f t="shared" si="6"/>
        <v>1.0144344777299796</v>
      </c>
      <c r="Q21" s="23">
        <f t="shared" si="7"/>
        <v>0.92267313369097315</v>
      </c>
      <c r="R21" s="23">
        <f t="shared" si="8"/>
        <v>0.96997843755183311</v>
      </c>
      <c r="S21" s="23">
        <f t="shared" si="9"/>
        <v>0.91754244139046104</v>
      </c>
      <c r="T21" s="23">
        <f t="shared" si="10"/>
        <v>0.93694830025437992</v>
      </c>
      <c r="U21" s="23">
        <f t="shared" si="11"/>
        <v>0.9676363364612327</v>
      </c>
      <c r="V21" s="21"/>
      <c r="W21" s="21"/>
      <c r="X21" s="21"/>
      <c r="Y21" s="21"/>
      <c r="Z21" s="21"/>
      <c r="AA21" s="21"/>
      <c r="AC21" s="21"/>
      <c r="AD21" s="21"/>
      <c r="AE21" s="21"/>
      <c r="AF21" s="21"/>
      <c r="AH21" s="21"/>
    </row>
    <row r="22" spans="2:34">
      <c r="B22" s="24">
        <v>9.0690000000000008</v>
      </c>
      <c r="C22" s="24">
        <v>378.290009</v>
      </c>
      <c r="D22" s="24">
        <v>42.639999000000003</v>
      </c>
      <c r="E22" s="24">
        <v>17.024000000000001</v>
      </c>
      <c r="F22" s="24">
        <v>11.542</v>
      </c>
      <c r="G22" s="22">
        <v>1.0532189999999999</v>
      </c>
      <c r="H22" s="22">
        <v>0.85460000000000003</v>
      </c>
      <c r="I22" s="22">
        <v>11.35</v>
      </c>
      <c r="J22" s="22">
        <v>22.25</v>
      </c>
      <c r="K22" s="22">
        <f t="shared" si="0"/>
        <v>21.125710797089685</v>
      </c>
      <c r="L22">
        <f t="shared" si="1"/>
        <v>442.65154341212263</v>
      </c>
      <c r="M22" s="21"/>
      <c r="N22" s="23">
        <f t="shared" si="4"/>
        <v>0.9428214991163324</v>
      </c>
      <c r="O22" s="23">
        <f t="shared" si="5"/>
        <v>0.93905772206392357</v>
      </c>
      <c r="P22" s="23">
        <f t="shared" si="6"/>
        <v>1.0089919786555595</v>
      </c>
      <c r="Q22" s="23">
        <f t="shared" si="7"/>
        <v>0.93098550426476578</v>
      </c>
      <c r="R22" s="23">
        <f t="shared" si="8"/>
        <v>0.95720683363741943</v>
      </c>
      <c r="S22" s="23">
        <f t="shared" si="9"/>
        <v>0.91754244139046104</v>
      </c>
      <c r="T22" s="23">
        <f t="shared" si="10"/>
        <v>0.93526687956003018</v>
      </c>
      <c r="U22" s="23">
        <f t="shared" si="11"/>
        <v>0.96659224915871733</v>
      </c>
      <c r="V22" s="21"/>
      <c r="X22" s="21"/>
      <c r="Y22" s="21"/>
      <c r="AA22" s="21"/>
      <c r="AB22" s="21"/>
      <c r="AC22" s="21"/>
      <c r="AD22" s="21"/>
      <c r="AE22" s="21"/>
      <c r="AF22" s="21"/>
      <c r="AH22" s="21"/>
    </row>
    <row r="23" spans="2:34">
      <c r="B23" s="24">
        <v>9.0839999999999996</v>
      </c>
      <c r="C23" s="24">
        <v>371.05999800000001</v>
      </c>
      <c r="D23" s="24">
        <v>42.919998</v>
      </c>
      <c r="E23" s="24">
        <v>16.728000999999999</v>
      </c>
      <c r="F23" s="24">
        <v>11.628</v>
      </c>
      <c r="G23" s="22">
        <v>1.0565800000000001</v>
      </c>
      <c r="H23" s="22">
        <v>0.85623000000000005</v>
      </c>
      <c r="I23" s="22">
        <v>11.49</v>
      </c>
      <c r="J23" s="22">
        <v>22.18</v>
      </c>
      <c r="K23" s="22">
        <f t="shared" si="0"/>
        <v>20.992258040091613</v>
      </c>
      <c r="L23">
        <f t="shared" si="1"/>
        <v>433.36486458077849</v>
      </c>
      <c r="M23" s="21"/>
      <c r="N23" s="23">
        <f t="shared" si="4"/>
        <v>0.94438091277679592</v>
      </c>
      <c r="O23" s="23">
        <f t="shared" si="5"/>
        <v>0.92111012234246992</v>
      </c>
      <c r="P23" s="23">
        <f t="shared" si="6"/>
        <v>1.0156176060396402</v>
      </c>
      <c r="Q23" s="23">
        <f t="shared" si="7"/>
        <v>0.91479831099192344</v>
      </c>
      <c r="R23" s="23">
        <f t="shared" si="8"/>
        <v>0.96433902803118288</v>
      </c>
      <c r="S23" s="23">
        <f t="shared" si="9"/>
        <v>0.92886014551333906</v>
      </c>
      <c r="T23" s="23">
        <f t="shared" si="10"/>
        <v>0.93232446690523452</v>
      </c>
      <c r="U23" s="23">
        <f t="shared" si="11"/>
        <v>0.96048621079711261</v>
      </c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H23" s="21"/>
    </row>
    <row r="24" spans="2:34">
      <c r="B24" s="24">
        <v>8.9239999999999995</v>
      </c>
      <c r="C24" s="24">
        <v>374.98998999999998</v>
      </c>
      <c r="D24" s="24">
        <v>42.759998000000003</v>
      </c>
      <c r="E24" s="24">
        <v>16.124001</v>
      </c>
      <c r="F24" s="24">
        <v>11.41</v>
      </c>
      <c r="G24" s="22">
        <v>1.0532969999999999</v>
      </c>
      <c r="H24" s="22">
        <v>0.85529999999999995</v>
      </c>
      <c r="I24" s="22">
        <v>11.27</v>
      </c>
      <c r="J24" s="22">
        <v>22.370000999999998</v>
      </c>
      <c r="K24" s="22">
        <f t="shared" si="0"/>
        <v>21.238075300698664</v>
      </c>
      <c r="L24">
        <f t="shared" si="1"/>
        <v>438.43094820530808</v>
      </c>
      <c r="M24" s="21"/>
      <c r="N24" s="23">
        <f t="shared" si="4"/>
        <v>0.92774716706518345</v>
      </c>
      <c r="O24" s="23">
        <f t="shared" si="5"/>
        <v>0.9308658368669035</v>
      </c>
      <c r="P24" s="23">
        <f t="shared" si="6"/>
        <v>1.0118315197270003</v>
      </c>
      <c r="Q24" s="23">
        <f t="shared" si="7"/>
        <v>0.88176757529080041</v>
      </c>
      <c r="R24" s="23">
        <f t="shared" si="8"/>
        <v>0.94625974456792195</v>
      </c>
      <c r="S24" s="23">
        <f t="shared" si="9"/>
        <v>0.91107518189167369</v>
      </c>
      <c r="T24" s="23">
        <f t="shared" si="10"/>
        <v>0.94031105757414613</v>
      </c>
      <c r="U24" s="23">
        <f t="shared" si="11"/>
        <v>0.97173340910889372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H24" s="21"/>
    </row>
    <row r="25" spans="2:34">
      <c r="B25" s="24">
        <v>8.7010000000000005</v>
      </c>
      <c r="C25" s="24">
        <v>384.540009</v>
      </c>
      <c r="D25" s="24">
        <v>41.529998999999997</v>
      </c>
      <c r="E25" s="24">
        <v>16.110001</v>
      </c>
      <c r="F25" s="24">
        <v>11.19</v>
      </c>
      <c r="G25" s="22">
        <v>1.051248</v>
      </c>
      <c r="H25" s="22">
        <v>0.85912999999999995</v>
      </c>
      <c r="I25" s="22">
        <v>11.28</v>
      </c>
      <c r="J25" s="22">
        <v>21.959999</v>
      </c>
      <c r="K25" s="22">
        <f t="shared" si="0"/>
        <v>20.889456151165092</v>
      </c>
      <c r="L25">
        <f t="shared" si="1"/>
        <v>447.59234225320967</v>
      </c>
      <c r="M25" s="21"/>
      <c r="N25" s="23">
        <f t="shared" si="4"/>
        <v>0.90456388397962373</v>
      </c>
      <c r="O25" s="23">
        <f t="shared" si="5"/>
        <v>0.95457256682129465</v>
      </c>
      <c r="P25" s="23">
        <f t="shared" si="6"/>
        <v>0.98272600486161843</v>
      </c>
      <c r="Q25" s="23">
        <f t="shared" si="7"/>
        <v>0.88100196221163529</v>
      </c>
      <c r="R25" s="23">
        <f t="shared" si="8"/>
        <v>0.92801459611875947</v>
      </c>
      <c r="S25" s="23">
        <f t="shared" si="9"/>
        <v>0.91188358932902214</v>
      </c>
      <c r="T25" s="23">
        <f t="shared" si="10"/>
        <v>0.9230768422414104</v>
      </c>
      <c r="U25" s="23">
        <f t="shared" si="11"/>
        <v>0.95578258165110819</v>
      </c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H25" s="21"/>
    </row>
    <row r="26" spans="2:34">
      <c r="B26" s="24">
        <v>8.6460000000000008</v>
      </c>
      <c r="C26" s="24">
        <v>376.23998999999998</v>
      </c>
      <c r="D26" s="24">
        <v>41.075001</v>
      </c>
      <c r="E26" s="24">
        <v>16.186001000000001</v>
      </c>
      <c r="F26" s="24">
        <v>11.045999999999999</v>
      </c>
      <c r="G26" s="22">
        <v>1.0379579999999999</v>
      </c>
      <c r="H26" s="22">
        <v>0.85004999999999997</v>
      </c>
      <c r="I26" s="22">
        <v>11.3</v>
      </c>
      <c r="J26" s="22">
        <v>21.99</v>
      </c>
      <c r="K26" s="22">
        <f t="shared" si="0"/>
        <v>21.185828328313864</v>
      </c>
      <c r="L26">
        <f t="shared" si="1"/>
        <v>442.60924651491086</v>
      </c>
      <c r="M26" s="21"/>
      <c r="N26" s="23">
        <f t="shared" si="4"/>
        <v>0.89884603389125695</v>
      </c>
      <c r="O26" s="23">
        <f t="shared" si="5"/>
        <v>0.93396880581837771</v>
      </c>
      <c r="P26" s="23">
        <f t="shared" si="6"/>
        <v>0.97195936923612702</v>
      </c>
      <c r="Q26" s="23">
        <f t="shared" si="7"/>
        <v>0.88515814749853161</v>
      </c>
      <c r="R26" s="23">
        <f t="shared" si="8"/>
        <v>0.91607231713385318</v>
      </c>
      <c r="S26" s="23">
        <f t="shared" si="9"/>
        <v>0.91350040420371914</v>
      </c>
      <c r="T26" s="23">
        <f t="shared" si="10"/>
        <v>0.92433791827078926</v>
      </c>
      <c r="U26" s="23">
        <f t="shared" si="11"/>
        <v>0.96934288511496902</v>
      </c>
      <c r="V26" s="21"/>
      <c r="W26" s="21"/>
      <c r="X26" s="21"/>
      <c r="Y26" s="21"/>
      <c r="Z26" s="21"/>
      <c r="AA26" s="21"/>
      <c r="AC26" s="21"/>
      <c r="AD26" s="21"/>
      <c r="AE26" s="21"/>
      <c r="AF26" s="21"/>
      <c r="AH26" s="21"/>
    </row>
    <row r="27" spans="2:34">
      <c r="B27" s="24">
        <v>8.7270000000000003</v>
      </c>
      <c r="C27" s="24">
        <v>375.94000199999999</v>
      </c>
      <c r="D27" s="24">
        <v>41.935001</v>
      </c>
      <c r="E27" s="24">
        <v>15.837999999999999</v>
      </c>
      <c r="F27" s="24">
        <v>11.151999999999999</v>
      </c>
      <c r="G27" s="22">
        <v>1.040063</v>
      </c>
      <c r="H27" s="22">
        <v>0.84838000000000002</v>
      </c>
      <c r="I27" s="22">
        <v>11.46</v>
      </c>
      <c r="J27" s="22">
        <v>21.940000999999999</v>
      </c>
      <c r="K27" s="22">
        <f t="shared" si="0"/>
        <v>21.094876944954297</v>
      </c>
      <c r="L27">
        <f t="shared" si="1"/>
        <v>443.12690303873262</v>
      </c>
      <c r="M27" s="21"/>
      <c r="N27" s="23">
        <f t="shared" si="4"/>
        <v>0.90726686765776066</v>
      </c>
      <c r="O27" s="23">
        <f t="shared" si="5"/>
        <v>0.93322412305852587</v>
      </c>
      <c r="P27" s="23">
        <f t="shared" si="6"/>
        <v>0.99230958316656781</v>
      </c>
      <c r="Q27" s="23">
        <f t="shared" si="7"/>
        <v>0.86612713912977901</v>
      </c>
      <c r="R27" s="23">
        <f t="shared" si="8"/>
        <v>0.92486316138663138</v>
      </c>
      <c r="S27" s="23">
        <f t="shared" si="9"/>
        <v>0.92643492320129395</v>
      </c>
      <c r="T27" s="23">
        <f t="shared" si="10"/>
        <v>0.9222362369804018</v>
      </c>
      <c r="U27" s="23">
        <f t="shared" si="11"/>
        <v>0.96518146763415547</v>
      </c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H27" s="21"/>
    </row>
    <row r="28" spans="2:34">
      <c r="B28" s="24">
        <v>8.6620000000000008</v>
      </c>
      <c r="C28" s="24">
        <v>385.959991</v>
      </c>
      <c r="D28" s="24">
        <v>41.325001</v>
      </c>
      <c r="E28" s="24">
        <v>16.302</v>
      </c>
      <c r="F28" s="24">
        <v>11.022</v>
      </c>
      <c r="G28" s="22">
        <v>1.0438959999999999</v>
      </c>
      <c r="H28" s="22">
        <v>0.84670000000000001</v>
      </c>
      <c r="I28" s="22">
        <v>11.2</v>
      </c>
      <c r="J28" s="22">
        <v>22.129999000000002</v>
      </c>
      <c r="K28" s="22">
        <f t="shared" si="0"/>
        <v>21.199428870308921</v>
      </c>
      <c r="L28">
        <f t="shared" si="1"/>
        <v>455.84031061769224</v>
      </c>
      <c r="M28" s="21"/>
      <c r="N28" s="23">
        <f t="shared" si="4"/>
        <v>0.90050940846241811</v>
      </c>
      <c r="O28" s="23">
        <f t="shared" si="5"/>
        <v>0.95809749486741647</v>
      </c>
      <c r="P28" s="23">
        <f t="shared" si="6"/>
        <v>0.97787512909962726</v>
      </c>
      <c r="Q28" s="23">
        <f t="shared" si="7"/>
        <v>0.89150174403925098</v>
      </c>
      <c r="R28" s="23">
        <f t="shared" si="8"/>
        <v>0.91408193730303555</v>
      </c>
      <c r="S28" s="23">
        <f t="shared" si="9"/>
        <v>0.90541632983023479</v>
      </c>
      <c r="T28" s="23">
        <f t="shared" si="10"/>
        <v>0.93022270154591413</v>
      </c>
      <c r="U28" s="23">
        <f t="shared" si="11"/>
        <v>0.96996516848346948</v>
      </c>
      <c r="V28" s="21"/>
      <c r="W28" s="21"/>
      <c r="X28" s="21"/>
      <c r="Y28" s="21"/>
      <c r="Z28" s="21"/>
      <c r="AA28" s="21"/>
      <c r="AC28" s="21"/>
      <c r="AD28" s="21"/>
      <c r="AE28" s="21"/>
      <c r="AF28" s="21"/>
      <c r="AH28" s="21"/>
    </row>
    <row r="29" spans="2:34">
      <c r="B29" s="24">
        <v>8.8450000000000006</v>
      </c>
      <c r="C29" s="24">
        <v>374.5</v>
      </c>
      <c r="D29" s="24">
        <v>42.264999000000003</v>
      </c>
      <c r="E29" s="24">
        <v>16.108000000000001</v>
      </c>
      <c r="F29" s="24">
        <v>11.305999999999999</v>
      </c>
      <c r="G29" s="22">
        <v>1.054786</v>
      </c>
      <c r="H29" s="22">
        <v>0.84477000000000002</v>
      </c>
      <c r="I29" s="22">
        <v>11.09</v>
      </c>
      <c r="J29" s="22">
        <v>21.52</v>
      </c>
      <c r="K29" s="22">
        <f t="shared" si="0"/>
        <v>20.402242729804907</v>
      </c>
      <c r="L29">
        <f t="shared" si="1"/>
        <v>443.31593214721164</v>
      </c>
      <c r="M29" s="21"/>
      <c r="N29" s="23">
        <f t="shared" si="4"/>
        <v>0.91953425512007481</v>
      </c>
      <c r="O29" s="23">
        <f t="shared" si="5"/>
        <v>0.92964949786167728</v>
      </c>
      <c r="P29" s="23">
        <f t="shared" si="6"/>
        <v>1.0001183388603092</v>
      </c>
      <c r="Q29" s="23">
        <f t="shared" si="7"/>
        <v>0.88089253422796321</v>
      </c>
      <c r="R29" s="23">
        <f t="shared" si="8"/>
        <v>0.93763476530104506</v>
      </c>
      <c r="S29" s="23">
        <f t="shared" si="9"/>
        <v>0.89652384801940221</v>
      </c>
      <c r="T29" s="23">
        <f t="shared" si="10"/>
        <v>0.90458171901716178</v>
      </c>
      <c r="U29" s="23">
        <f t="shared" si="11"/>
        <v>0.93349046938581426</v>
      </c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H29" s="21"/>
    </row>
    <row r="30" spans="2:34">
      <c r="B30" s="24">
        <v>8.8049999999999997</v>
      </c>
      <c r="C30" s="24">
        <v>365.16000400000001</v>
      </c>
      <c r="D30" s="24">
        <v>42.145000000000003</v>
      </c>
      <c r="E30" s="24">
        <v>16.350000000000001</v>
      </c>
      <c r="F30" s="24">
        <v>11.231999999999999</v>
      </c>
      <c r="G30" s="22">
        <v>1.047274</v>
      </c>
      <c r="H30" s="22">
        <v>0.84819999999999995</v>
      </c>
      <c r="I30" s="22">
        <v>10.77</v>
      </c>
      <c r="J30" s="22">
        <v>21.190000999999999</v>
      </c>
      <c r="K30" s="22">
        <f t="shared" si="0"/>
        <v>20.233483310002921</v>
      </c>
      <c r="L30">
        <f t="shared" si="1"/>
        <v>430.51167649139359</v>
      </c>
      <c r="M30" s="21"/>
      <c r="N30" s="23">
        <f t="shared" si="4"/>
        <v>0.91537581869217155</v>
      </c>
      <c r="O30" s="23">
        <f t="shared" si="5"/>
        <v>0.90646412378576258</v>
      </c>
      <c r="P30" s="23">
        <f t="shared" si="6"/>
        <v>0.99727879778886852</v>
      </c>
      <c r="Q30" s="23">
        <f t="shared" si="7"/>
        <v>0.89412670316781717</v>
      </c>
      <c r="R30" s="23">
        <f t="shared" si="8"/>
        <v>0.93149776082269042</v>
      </c>
      <c r="S30" s="23">
        <f t="shared" si="9"/>
        <v>0.8706548100242526</v>
      </c>
      <c r="T30" s="23">
        <f t="shared" si="10"/>
        <v>0.89071038710759187</v>
      </c>
      <c r="U30" s="23">
        <f t="shared" si="11"/>
        <v>0.92576899914891253</v>
      </c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H30" s="21"/>
    </row>
    <row r="31" spans="2:34">
      <c r="B31" s="24">
        <v>8.8209999999999997</v>
      </c>
      <c r="C31" s="24">
        <v>356.70001200000002</v>
      </c>
      <c r="D31" s="24">
        <v>42.145000000000003</v>
      </c>
      <c r="E31" s="24">
        <v>16.011998999999999</v>
      </c>
      <c r="F31" s="24">
        <v>11.242000000000001</v>
      </c>
      <c r="G31" s="22">
        <v>1.0578989999999999</v>
      </c>
      <c r="H31" s="22">
        <v>0.84872000000000003</v>
      </c>
      <c r="I31" s="22">
        <v>10.78</v>
      </c>
      <c r="J31" s="22">
        <v>21.190000999999999</v>
      </c>
      <c r="K31" s="22">
        <f t="shared" si="0"/>
        <v>20.030268484987698</v>
      </c>
      <c r="L31">
        <f t="shared" si="1"/>
        <v>420.27996512395134</v>
      </c>
      <c r="M31" s="21"/>
      <c r="N31" s="23">
        <f t="shared" si="4"/>
        <v>0.91703919326333283</v>
      </c>
      <c r="O31" s="23">
        <f t="shared" si="5"/>
        <v>0.88546324978118629</v>
      </c>
      <c r="P31" s="23">
        <f t="shared" si="6"/>
        <v>0.99727879778886852</v>
      </c>
      <c r="Q31" s="23">
        <f t="shared" si="7"/>
        <v>0.8756425612841825</v>
      </c>
      <c r="R31" s="23">
        <f t="shared" si="8"/>
        <v>0.93232708575219791</v>
      </c>
      <c r="S31" s="23">
        <f t="shared" si="9"/>
        <v>0.87146321746160105</v>
      </c>
      <c r="T31" s="23">
        <f t="shared" si="10"/>
        <v>0.89071038710759187</v>
      </c>
      <c r="U31" s="23">
        <f t="shared" si="11"/>
        <v>0.91647104573752147</v>
      </c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H31" s="21"/>
    </row>
    <row r="32" spans="2:34">
      <c r="B32" s="24">
        <v>8.6969999999999992</v>
      </c>
      <c r="C32" s="24">
        <v>360.67999300000002</v>
      </c>
      <c r="D32" s="24">
        <v>41.615001999999997</v>
      </c>
      <c r="E32" s="24">
        <v>15.59</v>
      </c>
      <c r="F32" s="24">
        <v>11.06</v>
      </c>
      <c r="G32" s="22">
        <v>1.0569820000000001</v>
      </c>
      <c r="H32" s="22">
        <v>0.84524999999999995</v>
      </c>
      <c r="I32" s="22">
        <v>10.67</v>
      </c>
      <c r="J32" s="22">
        <v>21.120000999999998</v>
      </c>
      <c r="K32" s="22">
        <f t="shared" si="0"/>
        <v>19.981419740355083</v>
      </c>
      <c r="L32">
        <f t="shared" si="1"/>
        <v>426.71398166223014</v>
      </c>
      <c r="M32" s="21"/>
      <c r="N32" s="23">
        <f t="shared" si="4"/>
        <v>0.90414804033683316</v>
      </c>
      <c r="O32" s="23">
        <f t="shared" si="5"/>
        <v>0.89534305575755213</v>
      </c>
      <c r="P32" s="23">
        <f t="shared" si="6"/>
        <v>0.9847374342043268</v>
      </c>
      <c r="Q32" s="23">
        <f t="shared" si="7"/>
        <v>0.85256485029885432</v>
      </c>
      <c r="R32" s="23">
        <f t="shared" si="8"/>
        <v>0.91723337203516353</v>
      </c>
      <c r="S32" s="23">
        <f t="shared" si="9"/>
        <v>0.86257073565076847</v>
      </c>
      <c r="T32" s="23">
        <f t="shared" si="10"/>
        <v>0.8877679744527962</v>
      </c>
      <c r="U32" s="23">
        <f t="shared" si="11"/>
        <v>0.91423600529810001</v>
      </c>
      <c r="V32" s="21"/>
      <c r="W32" s="21"/>
      <c r="X32" s="21"/>
      <c r="Y32" s="21"/>
      <c r="Z32" s="21"/>
      <c r="AA32" s="21"/>
      <c r="AC32" s="21"/>
      <c r="AD32" s="21"/>
      <c r="AE32" s="21"/>
      <c r="AF32" s="21"/>
      <c r="AH32" s="21"/>
    </row>
    <row r="33" spans="2:34">
      <c r="B33" s="24">
        <v>8.5090000000000003</v>
      </c>
      <c r="C33" s="24">
        <v>355.39001500000001</v>
      </c>
      <c r="D33" s="24">
        <v>40.544998</v>
      </c>
      <c r="E33" s="24">
        <v>15.414</v>
      </c>
      <c r="F33" s="24">
        <v>10.763999999999999</v>
      </c>
      <c r="G33" s="22">
        <v>1.0682050000000001</v>
      </c>
      <c r="H33" s="22">
        <v>0.84989000000000003</v>
      </c>
      <c r="I33" s="22">
        <v>10.63</v>
      </c>
      <c r="J33" s="22">
        <v>20.690000999999999</v>
      </c>
      <c r="K33" s="22">
        <f t="shared" si="0"/>
        <v>19.368942291039637</v>
      </c>
      <c r="L33">
        <f t="shared" si="1"/>
        <v>418.160014825448</v>
      </c>
      <c r="M33" s="21"/>
      <c r="N33" s="23">
        <f t="shared" si="4"/>
        <v>0.8846033891256887</v>
      </c>
      <c r="O33" s="23">
        <f t="shared" si="5"/>
        <v>0.88221134576716675</v>
      </c>
      <c r="P33" s="23">
        <f t="shared" si="6"/>
        <v>0.95941788733638811</v>
      </c>
      <c r="Q33" s="23">
        <f t="shared" si="7"/>
        <v>0.84294000016077875</v>
      </c>
      <c r="R33" s="23">
        <f t="shared" si="8"/>
        <v>0.89268535412174499</v>
      </c>
      <c r="S33" s="23">
        <f t="shared" si="9"/>
        <v>0.8593371059013748</v>
      </c>
      <c r="T33" s="23">
        <f t="shared" si="10"/>
        <v>0.86969315385905177</v>
      </c>
      <c r="U33" s="23">
        <f t="shared" si="11"/>
        <v>0.88621252429057018</v>
      </c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H33" s="21"/>
    </row>
    <row r="34" spans="2:34">
      <c r="B34" s="24">
        <v>8.4920000000000009</v>
      </c>
      <c r="C34" s="24">
        <v>356.60000600000001</v>
      </c>
      <c r="D34" s="24">
        <v>40.575001</v>
      </c>
      <c r="E34" s="24">
        <v>15.616</v>
      </c>
      <c r="F34" s="24">
        <v>10.676</v>
      </c>
      <c r="G34" s="22">
        <v>1.073653</v>
      </c>
      <c r="H34" s="22">
        <v>0.85575000000000001</v>
      </c>
      <c r="I34" s="22">
        <v>10.83</v>
      </c>
      <c r="J34" s="22">
        <v>21.030000999999999</v>
      </c>
      <c r="K34" s="22">
        <f t="shared" si="0"/>
        <v>19.587335014199187</v>
      </c>
      <c r="L34">
        <f t="shared" si="1"/>
        <v>416.71049488752556</v>
      </c>
      <c r="M34" s="21"/>
      <c r="N34" s="23">
        <f t="shared" si="4"/>
        <v>0.88283605364382989</v>
      </c>
      <c r="O34" s="23">
        <f t="shared" si="5"/>
        <v>0.88521499737081732</v>
      </c>
      <c r="P34" s="23">
        <f t="shared" si="6"/>
        <v>0.96012784950912655</v>
      </c>
      <c r="Q34" s="23">
        <f t="shared" si="7"/>
        <v>0.8539867031601609</v>
      </c>
      <c r="R34" s="23">
        <f t="shared" si="8"/>
        <v>0.88538729474208011</v>
      </c>
      <c r="S34" s="23">
        <f t="shared" si="9"/>
        <v>0.87550525464834317</v>
      </c>
      <c r="T34" s="23">
        <f t="shared" si="10"/>
        <v>0.88398487246805901</v>
      </c>
      <c r="U34" s="23">
        <f t="shared" si="11"/>
        <v>0.89620493190734807</v>
      </c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H34" s="21"/>
    </row>
    <row r="35" spans="2:34">
      <c r="B35" s="24">
        <v>8.5939999999999994</v>
      </c>
      <c r="C35" s="24">
        <v>365.23001099999999</v>
      </c>
      <c r="D35" s="24">
        <v>40.575001</v>
      </c>
      <c r="E35" s="24">
        <v>15.173999999999999</v>
      </c>
      <c r="F35" s="24">
        <v>10.81</v>
      </c>
      <c r="G35" s="22">
        <v>1.0686610000000001</v>
      </c>
      <c r="H35" s="22">
        <v>0.84902999999999995</v>
      </c>
      <c r="I35" s="22">
        <v>10.77</v>
      </c>
      <c r="J35" s="22">
        <v>21.059999000000001</v>
      </c>
      <c r="K35" s="22">
        <f t="shared" si="0"/>
        <v>19.706903311714377</v>
      </c>
      <c r="L35">
        <f t="shared" si="1"/>
        <v>430.17326949577756</v>
      </c>
      <c r="M35" s="21"/>
      <c r="N35" s="23">
        <f t="shared" si="4"/>
        <v>0.89344006653498265</v>
      </c>
      <c r="O35" s="23">
        <f t="shared" si="5"/>
        <v>0.90663790742367112</v>
      </c>
      <c r="P35" s="23">
        <f t="shared" si="6"/>
        <v>0.96012784950912655</v>
      </c>
      <c r="Q35" s="23">
        <f t="shared" si="7"/>
        <v>0.82981520451794832</v>
      </c>
      <c r="R35" s="23">
        <f t="shared" si="8"/>
        <v>0.89650024879747903</v>
      </c>
      <c r="S35" s="23">
        <f t="shared" si="9"/>
        <v>0.8706548100242526</v>
      </c>
      <c r="T35" s="23">
        <f t="shared" si="10"/>
        <v>0.88524582239403848</v>
      </c>
      <c r="U35" s="23">
        <f t="shared" si="11"/>
        <v>0.90167569645266255</v>
      </c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H35" s="21"/>
    </row>
    <row r="36" spans="2:34">
      <c r="B36" s="24">
        <v>8.4309999999999992</v>
      </c>
      <c r="C36" s="24">
        <v>363.75</v>
      </c>
      <c r="D36" s="24">
        <v>40.575001</v>
      </c>
      <c r="E36" s="24">
        <v>15.446</v>
      </c>
      <c r="F36" s="24">
        <v>10.571999999999999</v>
      </c>
      <c r="G36" s="22">
        <v>1.0732950000000001</v>
      </c>
      <c r="H36" s="22">
        <v>0.85058999999999996</v>
      </c>
      <c r="I36" s="22">
        <v>10.89</v>
      </c>
      <c r="J36" s="22">
        <v>21.09</v>
      </c>
      <c r="K36" s="22">
        <f t="shared" si="0"/>
        <v>19.649770100484954</v>
      </c>
      <c r="L36">
        <f t="shared" si="1"/>
        <v>427.64434098684444</v>
      </c>
      <c r="M36" s="21"/>
      <c r="N36" s="23">
        <f t="shared" si="4"/>
        <v>0.87649443809127747</v>
      </c>
      <c r="O36" s="23">
        <f t="shared" si="5"/>
        <v>0.90296396487899888</v>
      </c>
      <c r="P36" s="23">
        <f t="shared" si="6"/>
        <v>0.96012784950912655</v>
      </c>
      <c r="Q36" s="23">
        <f t="shared" si="7"/>
        <v>0.84468997291315606</v>
      </c>
      <c r="R36" s="23">
        <f t="shared" si="8"/>
        <v>0.87676231547520322</v>
      </c>
      <c r="S36" s="23">
        <f t="shared" si="9"/>
        <v>0.88035569927243373</v>
      </c>
      <c r="T36" s="23">
        <f t="shared" si="10"/>
        <v>0.88650689842341734</v>
      </c>
      <c r="U36" s="23">
        <f t="shared" si="11"/>
        <v>0.89906160598847251</v>
      </c>
      <c r="V36" s="21"/>
      <c r="W36" s="21"/>
      <c r="X36" s="21"/>
      <c r="Y36" s="21"/>
      <c r="Z36" s="21"/>
      <c r="AA36" s="21"/>
      <c r="AC36" s="21"/>
      <c r="AD36" s="21"/>
      <c r="AE36" s="21"/>
      <c r="AF36" s="21"/>
      <c r="AH36" s="21"/>
    </row>
    <row r="37" spans="2:34">
      <c r="B37" s="24">
        <v>8.5839999999999996</v>
      </c>
      <c r="C37" s="24">
        <v>368.23001099999999</v>
      </c>
      <c r="D37" s="24">
        <v>40.575001</v>
      </c>
      <c r="E37" s="24">
        <v>15.808</v>
      </c>
      <c r="F37" s="24">
        <v>10.843999999999999</v>
      </c>
      <c r="G37" s="22">
        <v>1.0731459999999999</v>
      </c>
      <c r="H37" s="22">
        <v>0.84974000000000005</v>
      </c>
      <c r="I37" s="22">
        <v>10.66</v>
      </c>
      <c r="J37" s="22">
        <v>21.09</v>
      </c>
      <c r="K37" s="22">
        <f t="shared" si="0"/>
        <v>19.652498355303006</v>
      </c>
      <c r="L37">
        <f t="shared" si="1"/>
        <v>433.34433003036219</v>
      </c>
      <c r="M37" s="21"/>
      <c r="N37" s="23">
        <f t="shared" si="4"/>
        <v>0.89240045742800689</v>
      </c>
      <c r="O37" s="23">
        <f t="shared" si="5"/>
        <v>0.91408503290720922</v>
      </c>
      <c r="P37" s="23">
        <f t="shared" si="6"/>
        <v>0.96012784950912655</v>
      </c>
      <c r="Q37" s="23">
        <f t="shared" si="7"/>
        <v>0.86448653967442513</v>
      </c>
      <c r="R37" s="23">
        <f t="shared" si="8"/>
        <v>0.89931995355780403</v>
      </c>
      <c r="S37" s="23">
        <f t="shared" si="9"/>
        <v>0.86176232821341991</v>
      </c>
      <c r="T37" s="23">
        <f t="shared" si="10"/>
        <v>0.88650689842341734</v>
      </c>
      <c r="U37" s="23">
        <f t="shared" si="11"/>
        <v>0.89918643539592713</v>
      </c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H37" s="21"/>
    </row>
    <row r="38" spans="2:34">
      <c r="B38" s="24">
        <v>8.7050000000000001</v>
      </c>
      <c r="C38" s="24">
        <v>352.32000699999998</v>
      </c>
      <c r="D38" s="24">
        <v>40.575001</v>
      </c>
      <c r="E38" s="24">
        <v>16.382000000000001</v>
      </c>
      <c r="F38" s="24">
        <v>11.036</v>
      </c>
      <c r="G38" s="22">
        <v>1.0773539999999999</v>
      </c>
      <c r="H38" s="22">
        <v>0.85182000000000002</v>
      </c>
      <c r="I38" s="22">
        <v>10.59</v>
      </c>
      <c r="J38" s="22">
        <v>20.76</v>
      </c>
      <c r="K38" s="22">
        <f t="shared" si="0"/>
        <v>19.269432331434238</v>
      </c>
      <c r="L38">
        <f t="shared" si="1"/>
        <v>413.60851705759427</v>
      </c>
      <c r="M38" s="21"/>
      <c r="N38" s="23">
        <f t="shared" si="4"/>
        <v>0.90497972762241385</v>
      </c>
      <c r="O38" s="23">
        <f t="shared" si="5"/>
        <v>0.87459043416334459</v>
      </c>
      <c r="P38" s="23">
        <f t="shared" si="6"/>
        <v>0.96012784950912655</v>
      </c>
      <c r="Q38" s="23">
        <f t="shared" si="7"/>
        <v>0.89587667592019449</v>
      </c>
      <c r="R38" s="23">
        <f t="shared" si="8"/>
        <v>0.9152429922043458</v>
      </c>
      <c r="S38" s="23">
        <f t="shared" si="9"/>
        <v>0.8561034761519809</v>
      </c>
      <c r="T38" s="23">
        <f t="shared" si="10"/>
        <v>0.87263552447938098</v>
      </c>
      <c r="U38" s="23">
        <f t="shared" si="11"/>
        <v>0.88165951508806184</v>
      </c>
      <c r="V38" s="21"/>
      <c r="W38" s="21"/>
      <c r="X38" s="21"/>
      <c r="Y38" s="21"/>
      <c r="Z38" s="21"/>
      <c r="AA38" s="21"/>
      <c r="AC38" s="21"/>
      <c r="AD38" s="21"/>
      <c r="AE38" s="21"/>
      <c r="AF38" s="21"/>
      <c r="AH38" s="21"/>
    </row>
    <row r="39" spans="2:34">
      <c r="B39" s="24">
        <v>8.8629999999999995</v>
      </c>
      <c r="C39" s="24">
        <v>352.66000400000001</v>
      </c>
      <c r="D39" s="24">
        <v>42.915000999999997</v>
      </c>
      <c r="E39" s="24">
        <v>16.552</v>
      </c>
      <c r="F39" s="24">
        <v>11.252000000000001</v>
      </c>
      <c r="G39" s="22">
        <v>1.0734109999999999</v>
      </c>
      <c r="H39" s="22">
        <v>0.85131000000000001</v>
      </c>
      <c r="I39" s="22">
        <v>10.6</v>
      </c>
      <c r="J39" s="22">
        <v>20.950001</v>
      </c>
      <c r="K39" s="22">
        <f t="shared" si="0"/>
        <v>19.517222201002227</v>
      </c>
      <c r="L39">
        <f t="shared" si="1"/>
        <v>414.2556812442001</v>
      </c>
      <c r="M39" s="21"/>
      <c r="N39" s="23">
        <f t="shared" si="4"/>
        <v>0.92140555151263104</v>
      </c>
      <c r="O39" s="23">
        <f t="shared" si="5"/>
        <v>0.87543443427102019</v>
      </c>
      <c r="P39" s="23">
        <f t="shared" si="6"/>
        <v>1.0154993618314887</v>
      </c>
      <c r="Q39" s="23">
        <f t="shared" si="7"/>
        <v>0.90517340616719921</v>
      </c>
      <c r="R39" s="23">
        <f t="shared" si="8"/>
        <v>0.9331564106817053</v>
      </c>
      <c r="S39" s="23">
        <f t="shared" si="9"/>
        <v>0.85691188358932935</v>
      </c>
      <c r="T39" s="23">
        <f t="shared" si="10"/>
        <v>0.88062211514829258</v>
      </c>
      <c r="U39" s="23">
        <f t="shared" si="11"/>
        <v>0.89299696875506285</v>
      </c>
      <c r="V39" s="21"/>
      <c r="W39" s="21"/>
      <c r="X39" s="21"/>
      <c r="Y39" s="21"/>
      <c r="Z39" s="21"/>
      <c r="AA39" s="21"/>
      <c r="AC39" s="21"/>
      <c r="AD39" s="21"/>
      <c r="AE39" s="21"/>
      <c r="AF39" s="21"/>
      <c r="AH39" s="21"/>
    </row>
    <row r="40" spans="2:34">
      <c r="B40" s="24">
        <v>8.9339999999999993</v>
      </c>
      <c r="C40" s="24">
        <v>350.42999300000002</v>
      </c>
      <c r="D40" s="24">
        <v>43.275002000000001</v>
      </c>
      <c r="E40" s="24">
        <v>16.351998999999999</v>
      </c>
      <c r="F40" s="24">
        <v>11.336</v>
      </c>
      <c r="G40" s="22">
        <v>1.0654170000000001</v>
      </c>
      <c r="H40" s="22">
        <v>0.85299000000000003</v>
      </c>
      <c r="I40" s="22">
        <v>10.68</v>
      </c>
      <c r="J40" s="22">
        <v>20.870000999999998</v>
      </c>
      <c r="K40" s="22">
        <f t="shared" si="0"/>
        <v>19.588575177606511</v>
      </c>
      <c r="L40">
        <f t="shared" si="1"/>
        <v>410.82544109544074</v>
      </c>
      <c r="M40" s="21"/>
      <c r="N40" s="23">
        <f t="shared" si="4"/>
        <v>0.92878677617215899</v>
      </c>
      <c r="O40" s="23">
        <f t="shared" si="5"/>
        <v>0.8698987103554634</v>
      </c>
      <c r="P40" s="23">
        <f t="shared" si="6"/>
        <v>1.0240180796979685</v>
      </c>
      <c r="Q40" s="23">
        <f t="shared" si="7"/>
        <v>0.89423602177819206</v>
      </c>
      <c r="R40" s="23">
        <f t="shared" si="8"/>
        <v>0.94012274008956731</v>
      </c>
      <c r="S40" s="23">
        <f t="shared" si="9"/>
        <v>0.8633791430881167</v>
      </c>
      <c r="T40" s="23">
        <f t="shared" si="10"/>
        <v>0.87725935782852615</v>
      </c>
      <c r="U40" s="23">
        <f t="shared" si="11"/>
        <v>0.89626167472413287</v>
      </c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H40" s="21"/>
    </row>
    <row r="41" spans="2:34">
      <c r="B41" s="24">
        <v>8.8209999999999997</v>
      </c>
      <c r="C41" s="24">
        <v>357.5</v>
      </c>
      <c r="D41" s="24">
        <v>43.125</v>
      </c>
      <c r="E41" s="24">
        <v>16.443999999999999</v>
      </c>
      <c r="F41" s="24">
        <v>11.186</v>
      </c>
      <c r="G41" s="22">
        <v>1.075107</v>
      </c>
      <c r="H41" s="22">
        <v>0.85470000000000002</v>
      </c>
      <c r="I41" s="22">
        <v>10.6</v>
      </c>
      <c r="J41" s="22">
        <v>20.780000999999999</v>
      </c>
      <c r="K41" s="22">
        <f t="shared" si="0"/>
        <v>19.328309647318822</v>
      </c>
      <c r="L41">
        <f t="shared" si="1"/>
        <v>418.27541827541825</v>
      </c>
      <c r="M41" s="21"/>
      <c r="N41" s="23">
        <f t="shared" si="4"/>
        <v>0.91703919326333272</v>
      </c>
      <c r="O41" s="23">
        <f t="shared" si="5"/>
        <v>0.88744912012162769</v>
      </c>
      <c r="P41" s="23">
        <f t="shared" si="6"/>
        <v>1.0204685764537895</v>
      </c>
      <c r="Q41" s="23">
        <f t="shared" si="7"/>
        <v>0.89926724812792558</v>
      </c>
      <c r="R41" s="23">
        <f t="shared" si="8"/>
        <v>0.92768286614695661</v>
      </c>
      <c r="S41" s="23">
        <f t="shared" si="9"/>
        <v>0.85691188358932935</v>
      </c>
      <c r="T41" s="23">
        <f t="shared" si="10"/>
        <v>0.87347625584378896</v>
      </c>
      <c r="U41" s="23">
        <f t="shared" si="11"/>
        <v>0.88435340585140354</v>
      </c>
      <c r="V41" s="21"/>
      <c r="W41" s="21"/>
      <c r="X41" s="21"/>
      <c r="Y41" s="21"/>
      <c r="Z41" s="21"/>
      <c r="AB41" s="21"/>
      <c r="AC41" s="21"/>
      <c r="AD41" s="21"/>
      <c r="AE41" s="21"/>
      <c r="AF41" s="21"/>
      <c r="AH41" s="21"/>
    </row>
    <row r="42" spans="2:34">
      <c r="B42" s="24">
        <v>8.8000000000000007</v>
      </c>
      <c r="C42" s="24">
        <v>352.82000699999998</v>
      </c>
      <c r="D42" s="24">
        <v>42.634998000000003</v>
      </c>
      <c r="E42" s="24">
        <v>16.412001</v>
      </c>
      <c r="F42" s="24">
        <v>11.15</v>
      </c>
      <c r="G42" s="22">
        <v>1.072605</v>
      </c>
      <c r="H42" s="22">
        <v>0.85855000000000004</v>
      </c>
      <c r="I42" s="22">
        <v>10.72</v>
      </c>
      <c r="J42" s="22">
        <v>20.9</v>
      </c>
      <c r="K42" s="22">
        <f t="shared" si="0"/>
        <v>19.485271838188336</v>
      </c>
      <c r="L42">
        <f t="shared" si="1"/>
        <v>410.94870071632397</v>
      </c>
      <c r="M42" s="21"/>
      <c r="N42" s="23">
        <f t="shared" si="4"/>
        <v>0.91485601413868367</v>
      </c>
      <c r="O42" s="23">
        <f t="shared" si="5"/>
        <v>0.87583162174393425</v>
      </c>
      <c r="P42" s="23">
        <f t="shared" si="6"/>
        <v>1.0088736397952502</v>
      </c>
      <c r="Q42" s="23">
        <f t="shared" si="7"/>
        <v>0.89751733006219681</v>
      </c>
      <c r="R42" s="23">
        <f t="shared" si="8"/>
        <v>0.92469729640073006</v>
      </c>
      <c r="S42" s="23">
        <f t="shared" si="9"/>
        <v>0.86661277283751048</v>
      </c>
      <c r="T42" s="23">
        <f t="shared" si="10"/>
        <v>0.87852034978897209</v>
      </c>
      <c r="U42" s="23">
        <f t="shared" si="11"/>
        <v>0.89153510205858366</v>
      </c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H42" s="21"/>
    </row>
    <row r="43" spans="2:34">
      <c r="B43" s="24">
        <v>8.843</v>
      </c>
      <c r="C43" s="24">
        <v>354.13000499999998</v>
      </c>
      <c r="D43" s="24">
        <v>42.634998000000003</v>
      </c>
      <c r="E43" s="24">
        <v>16.299999</v>
      </c>
      <c r="F43" s="24">
        <v>11.178000000000001</v>
      </c>
      <c r="G43" s="22">
        <v>1.0691409999999999</v>
      </c>
      <c r="H43" s="22">
        <v>0.85353999999999997</v>
      </c>
      <c r="I43" s="22">
        <v>10.92</v>
      </c>
      <c r="J43" s="22">
        <v>21.66</v>
      </c>
      <c r="K43" s="22">
        <f t="shared" si="0"/>
        <v>20.259254859742544</v>
      </c>
      <c r="L43">
        <f t="shared" si="1"/>
        <v>414.89561707711414</v>
      </c>
      <c r="M43" s="21"/>
      <c r="N43" s="23">
        <f t="shared" si="4"/>
        <v>0.91932633329867941</v>
      </c>
      <c r="O43" s="23">
        <f t="shared" si="5"/>
        <v>0.87908352824032898</v>
      </c>
      <c r="P43" s="23">
        <f t="shared" si="6"/>
        <v>1.0088736397952502</v>
      </c>
      <c r="Q43" s="23">
        <f t="shared" si="7"/>
        <v>0.89139231605557889</v>
      </c>
      <c r="R43" s="23">
        <f t="shared" si="8"/>
        <v>0.92701940620335077</v>
      </c>
      <c r="S43" s="23">
        <f t="shared" si="9"/>
        <v>0.88278092158447885</v>
      </c>
      <c r="T43" s="23">
        <f t="shared" si="10"/>
        <v>0.910466544326753</v>
      </c>
      <c r="U43" s="23">
        <f t="shared" si="11"/>
        <v>0.92694815853750723</v>
      </c>
      <c r="V43" s="21"/>
      <c r="W43" s="21"/>
      <c r="X43" s="21"/>
      <c r="Y43" s="21"/>
      <c r="Z43" s="21"/>
      <c r="AA43" s="21"/>
      <c r="AC43" s="21"/>
      <c r="AD43" s="21"/>
      <c r="AE43" s="21"/>
      <c r="AF43" s="21"/>
      <c r="AH43" s="21"/>
    </row>
    <row r="44" spans="2:34">
      <c r="B44" s="24">
        <v>8.7910000000000004</v>
      </c>
      <c r="C44" s="24">
        <v>363.01998900000001</v>
      </c>
      <c r="D44" s="24">
        <v>42.634998000000003</v>
      </c>
      <c r="E44" s="24">
        <v>16.459999</v>
      </c>
      <c r="F44" s="24">
        <v>11.157999999999999</v>
      </c>
      <c r="G44" s="22">
        <v>1.0698620000000001</v>
      </c>
      <c r="H44" s="22">
        <v>0.84989999999999999</v>
      </c>
      <c r="I44" s="22">
        <v>11.11</v>
      </c>
      <c r="J44" s="22">
        <v>21.66</v>
      </c>
      <c r="K44" s="22">
        <f t="shared" si="0"/>
        <v>20.245601769200139</v>
      </c>
      <c r="L44">
        <f t="shared" si="1"/>
        <v>427.13259089304626</v>
      </c>
      <c r="M44" s="21"/>
      <c r="N44" s="23">
        <f t="shared" si="4"/>
        <v>0.91392036594240544</v>
      </c>
      <c r="O44" s="23">
        <f t="shared" si="5"/>
        <v>0.90115180370521109</v>
      </c>
      <c r="P44" s="23">
        <f t="shared" si="6"/>
        <v>1.0088736397952502</v>
      </c>
      <c r="Q44" s="23">
        <f t="shared" si="7"/>
        <v>0.9001421798174658</v>
      </c>
      <c r="R44" s="23">
        <f t="shared" si="8"/>
        <v>0.9253607563443359</v>
      </c>
      <c r="S44" s="23">
        <f t="shared" si="9"/>
        <v>0.89814066289409888</v>
      </c>
      <c r="T44" s="23">
        <f t="shared" si="10"/>
        <v>0.910466544326753</v>
      </c>
      <c r="U44" s="23">
        <f t="shared" si="11"/>
        <v>0.92632347084665945</v>
      </c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H44" s="21"/>
    </row>
    <row r="45" spans="2:34">
      <c r="B45" s="24">
        <v>8.8490000000000002</v>
      </c>
      <c r="C45" s="24">
        <v>372.45001200000002</v>
      </c>
      <c r="D45" s="24">
        <v>42.634998000000003</v>
      </c>
      <c r="E45" s="24">
        <v>16.416</v>
      </c>
      <c r="F45" s="24">
        <v>11.226000000000001</v>
      </c>
      <c r="G45" s="22">
        <v>1.0717650000000001</v>
      </c>
      <c r="H45" s="22">
        <v>0.85460000000000003</v>
      </c>
      <c r="I45" s="22">
        <v>11.06</v>
      </c>
      <c r="J45" s="22">
        <v>21.73</v>
      </c>
      <c r="K45" s="22">
        <f t="shared" si="0"/>
        <v>20.274966993697312</v>
      </c>
      <c r="L45">
        <f t="shared" si="1"/>
        <v>435.81794055698572</v>
      </c>
      <c r="M45" s="21"/>
      <c r="N45" s="23">
        <f t="shared" si="4"/>
        <v>0.91995009876286493</v>
      </c>
      <c r="O45" s="23">
        <f t="shared" si="5"/>
        <v>0.92456065856976133</v>
      </c>
      <c r="P45" s="23">
        <f t="shared" si="6"/>
        <v>1.0088736397952502</v>
      </c>
      <c r="Q45" s="23">
        <f t="shared" si="7"/>
        <v>0.89773602196959545</v>
      </c>
      <c r="R45" s="23">
        <f t="shared" si="8"/>
        <v>0.93100016586498624</v>
      </c>
      <c r="S45" s="23">
        <f t="shared" si="9"/>
        <v>0.89409862570735688</v>
      </c>
      <c r="T45" s="23">
        <f t="shared" si="10"/>
        <v>0.91340895698154867</v>
      </c>
      <c r="U45" s="23">
        <f t="shared" si="11"/>
        <v>0.92766705633196689</v>
      </c>
      <c r="V45" s="21"/>
      <c r="W45" s="21"/>
      <c r="X45" s="21"/>
      <c r="Y45" s="21"/>
      <c r="Z45" s="21"/>
      <c r="AA45" s="21"/>
      <c r="AC45" s="21"/>
      <c r="AD45" s="21"/>
      <c r="AE45" s="21"/>
      <c r="AF45" s="21"/>
      <c r="AH45" s="21"/>
    </row>
    <row r="46" spans="2:34">
      <c r="B46" s="24">
        <v>8.8000000000000007</v>
      </c>
      <c r="C46" s="24">
        <v>373.52999899999998</v>
      </c>
      <c r="D46" s="24">
        <v>42.634998000000003</v>
      </c>
      <c r="E46" s="24">
        <v>16.469999000000001</v>
      </c>
      <c r="F46" s="24">
        <v>11.173999999999999</v>
      </c>
      <c r="G46" s="22">
        <v>1.0619209999999999</v>
      </c>
      <c r="H46" s="22">
        <v>0.84999000000000002</v>
      </c>
      <c r="I46" s="22">
        <v>11.02</v>
      </c>
      <c r="J46" s="22">
        <v>21.67</v>
      </c>
      <c r="K46" s="22">
        <f t="shared" si="0"/>
        <v>20.406414413124896</v>
      </c>
      <c r="L46">
        <f t="shared" si="1"/>
        <v>439.45222767326669</v>
      </c>
      <c r="M46" s="21"/>
      <c r="N46" s="23">
        <f t="shared" si="4"/>
        <v>0.91485601413868367</v>
      </c>
      <c r="O46" s="23">
        <f t="shared" si="5"/>
        <v>0.92724159147295782</v>
      </c>
      <c r="P46" s="23">
        <f t="shared" si="6"/>
        <v>1.0088736397952502</v>
      </c>
      <c r="Q46" s="23">
        <f t="shared" si="7"/>
        <v>0.90068904630258384</v>
      </c>
      <c r="R46" s="23">
        <f t="shared" si="8"/>
        <v>0.9266876762315478</v>
      </c>
      <c r="S46" s="23">
        <f t="shared" si="9"/>
        <v>0.89086499595796309</v>
      </c>
      <c r="T46" s="23">
        <f t="shared" si="10"/>
        <v>0.91088688899172388</v>
      </c>
      <c r="U46" s="23">
        <f t="shared" si="11"/>
        <v>0.93368134186351559</v>
      </c>
      <c r="V46" s="21"/>
      <c r="W46" s="21"/>
      <c r="X46" s="21"/>
      <c r="Y46" s="21"/>
      <c r="Z46" s="21"/>
      <c r="AA46" s="21"/>
      <c r="AC46" s="21"/>
      <c r="AD46" s="21"/>
      <c r="AE46" s="21"/>
      <c r="AF46" s="21"/>
      <c r="AH46" s="21"/>
    </row>
    <row r="47" spans="2:34">
      <c r="B47" s="24">
        <v>8.8160000000000007</v>
      </c>
      <c r="C47" s="24">
        <v>371.02999899999998</v>
      </c>
      <c r="D47" s="24">
        <v>42.634998000000003</v>
      </c>
      <c r="E47" s="24">
        <v>16.361999999999998</v>
      </c>
      <c r="F47" s="24">
        <v>11.23</v>
      </c>
      <c r="G47" s="22">
        <v>1.048999</v>
      </c>
      <c r="H47" s="22">
        <v>0.85450999999999999</v>
      </c>
      <c r="I47" s="22">
        <v>11.15</v>
      </c>
      <c r="J47" s="22">
        <v>21.67</v>
      </c>
      <c r="K47" s="22">
        <f t="shared" si="0"/>
        <v>20.657788996938987</v>
      </c>
      <c r="L47">
        <f t="shared" si="1"/>
        <v>434.20205614913806</v>
      </c>
      <c r="M47" s="21"/>
      <c r="N47" s="23">
        <f t="shared" si="4"/>
        <v>0.91651938870984495</v>
      </c>
      <c r="O47" s="23">
        <f t="shared" si="5"/>
        <v>0.92103565357000938</v>
      </c>
      <c r="P47" s="23">
        <f t="shared" si="6"/>
        <v>1.0088736397952502</v>
      </c>
      <c r="Q47" s="23">
        <f t="shared" si="7"/>
        <v>0.89478294294995853</v>
      </c>
      <c r="R47" s="23">
        <f t="shared" si="8"/>
        <v>0.93133189583678921</v>
      </c>
      <c r="S47" s="23">
        <f t="shared" si="9"/>
        <v>0.90137429264349267</v>
      </c>
      <c r="T47" s="23">
        <f t="shared" si="10"/>
        <v>0.91088688899172388</v>
      </c>
      <c r="U47" s="23">
        <f t="shared" si="11"/>
        <v>0.94518281164524109</v>
      </c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H47" s="21"/>
    </row>
    <row r="48" spans="2:34">
      <c r="B48" s="24">
        <v>8.7639999999999993</v>
      </c>
      <c r="C48" s="24">
        <v>374.45001200000002</v>
      </c>
      <c r="D48" s="24">
        <v>42.634998000000003</v>
      </c>
      <c r="E48" s="24">
        <v>15.602</v>
      </c>
      <c r="F48" s="24">
        <v>11.167999999999999</v>
      </c>
      <c r="G48" s="22">
        <v>1.041515</v>
      </c>
      <c r="H48" s="22">
        <v>0.85745000000000005</v>
      </c>
      <c r="I48" s="22">
        <v>11.04</v>
      </c>
      <c r="J48" s="22">
        <v>21.77</v>
      </c>
      <c r="K48" s="22">
        <f t="shared" si="0"/>
        <v>20.902243366634181</v>
      </c>
      <c r="L48">
        <f t="shared" si="1"/>
        <v>436.7018624992711</v>
      </c>
      <c r="M48" s="21"/>
      <c r="N48" s="23">
        <f t="shared" si="4"/>
        <v>0.91111342135357076</v>
      </c>
      <c r="O48" s="23">
        <f t="shared" si="5"/>
        <v>0.9295254088921201</v>
      </c>
      <c r="P48" s="23">
        <f t="shared" si="6"/>
        <v>1.0088736397952502</v>
      </c>
      <c r="Q48" s="23">
        <f t="shared" si="7"/>
        <v>0.85322109008099589</v>
      </c>
      <c r="R48" s="23">
        <f t="shared" si="8"/>
        <v>0.92619008127384339</v>
      </c>
      <c r="S48" s="23">
        <f t="shared" si="9"/>
        <v>0.89248181083265987</v>
      </c>
      <c r="T48" s="23">
        <f t="shared" si="10"/>
        <v>0.91509033564143183</v>
      </c>
      <c r="U48" s="23">
        <f t="shared" si="11"/>
        <v>0.95636765182836558</v>
      </c>
      <c r="V48" s="21"/>
      <c r="W48" s="21"/>
      <c r="X48" s="21"/>
      <c r="Y48" s="21"/>
      <c r="Z48" s="21"/>
      <c r="AA48" s="21"/>
      <c r="AC48" s="21"/>
      <c r="AD48" s="21"/>
      <c r="AE48" s="21"/>
      <c r="AF48" s="21"/>
      <c r="AH48" s="21"/>
    </row>
    <row r="49" spans="2:34">
      <c r="B49" s="24">
        <v>8.51</v>
      </c>
      <c r="C49" s="24">
        <v>376.61999500000002</v>
      </c>
      <c r="D49" s="24">
        <v>42.634998000000003</v>
      </c>
      <c r="E49" s="24">
        <v>15.182</v>
      </c>
      <c r="F49" s="24">
        <v>10.86</v>
      </c>
      <c r="G49" s="22">
        <v>1.0440590000000001</v>
      </c>
      <c r="H49" s="22">
        <v>0.86890000000000001</v>
      </c>
      <c r="I49" s="22">
        <v>11.05</v>
      </c>
      <c r="J49" s="22">
        <v>21.65</v>
      </c>
      <c r="K49" s="22">
        <f t="shared" si="0"/>
        <v>20.736376009401766</v>
      </c>
      <c r="L49">
        <f t="shared" si="1"/>
        <v>433.4445793532052</v>
      </c>
      <c r="M49" s="21"/>
      <c r="N49" s="23">
        <f t="shared" si="4"/>
        <v>0.88470735003638612</v>
      </c>
      <c r="O49" s="23">
        <f t="shared" si="5"/>
        <v>0.93491212079150166</v>
      </c>
      <c r="P49" s="23">
        <f t="shared" si="6"/>
        <v>1.0088736397952502</v>
      </c>
      <c r="Q49" s="23">
        <f t="shared" si="7"/>
        <v>0.83025269770604282</v>
      </c>
      <c r="R49" s="23">
        <f t="shared" si="8"/>
        <v>0.90064687344501604</v>
      </c>
      <c r="S49" s="23">
        <f t="shared" si="9"/>
        <v>0.89329021827000843</v>
      </c>
      <c r="T49" s="23">
        <f t="shared" si="10"/>
        <v>0.91004619966178224</v>
      </c>
      <c r="U49" s="23">
        <f t="shared" si="11"/>
        <v>0.94877850590900659</v>
      </c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H49" s="21"/>
    </row>
    <row r="50" spans="2:34">
      <c r="B50" s="24">
        <v>8.31</v>
      </c>
      <c r="C50" s="24">
        <v>379.05999800000001</v>
      </c>
      <c r="D50" s="24">
        <v>40.345001000000003</v>
      </c>
      <c r="E50" s="24">
        <v>15.093999999999999</v>
      </c>
      <c r="F50" s="24">
        <v>10.6</v>
      </c>
      <c r="G50" s="22">
        <v>1.04562</v>
      </c>
      <c r="H50" s="22">
        <v>0.85880000000000001</v>
      </c>
      <c r="I50" s="22">
        <v>11.09</v>
      </c>
      <c r="J50" s="22">
        <v>21.65</v>
      </c>
      <c r="K50" s="22">
        <f t="shared" si="0"/>
        <v>20.705418794590766</v>
      </c>
      <c r="L50">
        <f t="shared" si="1"/>
        <v>441.38332324173268</v>
      </c>
      <c r="M50" s="21"/>
      <c r="N50" s="23">
        <f t="shared" si="4"/>
        <v>0.86391516789687062</v>
      </c>
      <c r="O50" s="23">
        <f t="shared" si="5"/>
        <v>0.94096912363190477</v>
      </c>
      <c r="P50" s="23">
        <f t="shared" si="6"/>
        <v>0.95468535043470648</v>
      </c>
      <c r="Q50" s="23">
        <f t="shared" si="7"/>
        <v>0.82544027263700492</v>
      </c>
      <c r="R50" s="23">
        <f t="shared" si="8"/>
        <v>0.87908442527782416</v>
      </c>
      <c r="S50" s="23">
        <f t="shared" si="9"/>
        <v>0.8965238480194021</v>
      </c>
      <c r="T50" s="23">
        <f t="shared" si="10"/>
        <v>0.91004619966178224</v>
      </c>
      <c r="U50" s="23">
        <f t="shared" si="11"/>
        <v>0.9473620800107605</v>
      </c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H50" s="21"/>
    </row>
    <row r="51" spans="2:34">
      <c r="B51" s="24">
        <v>8.2230000000000008</v>
      </c>
      <c r="C51" s="24">
        <v>377.10998499999999</v>
      </c>
      <c r="D51" s="24">
        <v>40.505001</v>
      </c>
      <c r="E51" s="24">
        <v>15.332000000000001</v>
      </c>
      <c r="F51" s="24">
        <v>10.481999999999999</v>
      </c>
      <c r="G51" s="22">
        <v>1.0546850000000001</v>
      </c>
      <c r="H51" s="22">
        <v>0.85360000000000003</v>
      </c>
      <c r="I51" s="22">
        <v>11.03</v>
      </c>
      <c r="J51" s="22">
        <v>21.809999000000001</v>
      </c>
      <c r="K51" s="22">
        <f t="shared" si="0"/>
        <v>20.679159180229167</v>
      </c>
      <c r="L51">
        <f t="shared" si="1"/>
        <v>441.78770501405808</v>
      </c>
      <c r="M51" s="21"/>
      <c r="N51" s="23">
        <f t="shared" si="4"/>
        <v>0.85487056866618139</v>
      </c>
      <c r="O51" s="23">
        <f t="shared" si="5"/>
        <v>0.93612845979672787</v>
      </c>
      <c r="P51" s="23">
        <f t="shared" si="6"/>
        <v>0.95847143674734658</v>
      </c>
      <c r="Q51" s="23">
        <f t="shared" si="7"/>
        <v>0.83845569498281181</v>
      </c>
      <c r="R51" s="23">
        <f t="shared" si="8"/>
        <v>0.86929839110963703</v>
      </c>
      <c r="S51" s="23">
        <f t="shared" si="9"/>
        <v>0.89167340339531154</v>
      </c>
      <c r="T51" s="23">
        <f t="shared" si="10"/>
        <v>0.91677167226684864</v>
      </c>
      <c r="U51" s="23">
        <f t="shared" si="11"/>
        <v>0.94616058956380633</v>
      </c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H51" s="21"/>
    </row>
    <row r="52" spans="2:34">
      <c r="B52" s="24">
        <v>8.3059999999999992</v>
      </c>
      <c r="C52" s="24">
        <v>368.25</v>
      </c>
      <c r="D52" s="24">
        <v>40.354999999999997</v>
      </c>
      <c r="E52" s="24">
        <v>14.708</v>
      </c>
      <c r="F52" s="24">
        <v>10.554</v>
      </c>
      <c r="G52" s="22">
        <v>1.049142</v>
      </c>
      <c r="H52" s="22">
        <v>0.85360000000000003</v>
      </c>
      <c r="I52" s="22">
        <v>10.88</v>
      </c>
      <c r="J52" s="22">
        <v>21.65</v>
      </c>
      <c r="K52" s="22">
        <f t="shared" si="0"/>
        <v>20.635910105591044</v>
      </c>
      <c r="L52">
        <f t="shared" si="1"/>
        <v>431.4081537019681</v>
      </c>
      <c r="M52" s="21"/>
      <c r="N52" s="23">
        <f t="shared" si="4"/>
        <v>0.86349932425408016</v>
      </c>
      <c r="O52" s="23">
        <f t="shared" si="5"/>
        <v>0.91413465310430597</v>
      </c>
      <c r="P52" s="23">
        <f t="shared" si="6"/>
        <v>0.95492195716620687</v>
      </c>
      <c r="Q52" s="23">
        <f t="shared" si="7"/>
        <v>0.80433122631145293</v>
      </c>
      <c r="R52" s="23">
        <f t="shared" si="8"/>
        <v>0.87526953060209023</v>
      </c>
      <c r="S52" s="23">
        <f t="shared" si="9"/>
        <v>0.87954729183508529</v>
      </c>
      <c r="T52" s="23">
        <f t="shared" si="10"/>
        <v>0.91004619966178224</v>
      </c>
      <c r="U52" s="23">
        <f t="shared" si="11"/>
        <v>0.94418175814222616</v>
      </c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H52" s="21"/>
    </row>
    <row r="53" spans="2:34">
      <c r="B53" s="24">
        <v>8.0679999999999996</v>
      </c>
      <c r="C53" s="24">
        <v>353.73001099999999</v>
      </c>
      <c r="D53" s="24">
        <v>38.32</v>
      </c>
      <c r="E53" s="24">
        <v>14.856</v>
      </c>
      <c r="F53" s="24">
        <v>10.210000000000001</v>
      </c>
      <c r="G53" s="22">
        <v>1.0520780000000001</v>
      </c>
      <c r="H53" s="22">
        <v>0.85850000000000004</v>
      </c>
      <c r="I53" s="22">
        <v>10.67</v>
      </c>
      <c r="J53" s="22">
        <v>21.17</v>
      </c>
      <c r="K53" s="22">
        <f t="shared" si="0"/>
        <v>20.122082203030573</v>
      </c>
      <c r="L53">
        <f t="shared" si="1"/>
        <v>412.03262783925447</v>
      </c>
      <c r="M53" s="21"/>
      <c r="N53" s="23">
        <f t="shared" si="4"/>
        <v>0.83875662750805668</v>
      </c>
      <c r="O53" s="23">
        <f t="shared" si="5"/>
        <v>0.87809059307010817</v>
      </c>
      <c r="P53" s="23">
        <f t="shared" si="6"/>
        <v>0.90676767187731511</v>
      </c>
      <c r="Q53" s="23">
        <f t="shared" si="7"/>
        <v>0.81242485029119826</v>
      </c>
      <c r="R53" s="23">
        <f t="shared" si="8"/>
        <v>0.84674075302703633</v>
      </c>
      <c r="S53" s="23">
        <f t="shared" si="9"/>
        <v>0.86257073565076836</v>
      </c>
      <c r="T53" s="23">
        <f t="shared" si="10"/>
        <v>0.889869655743184</v>
      </c>
      <c r="U53" s="23">
        <f t="shared" si="11"/>
        <v>0.92067191874383514</v>
      </c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H53" s="21"/>
    </row>
    <row r="54" spans="2:34">
      <c r="B54" s="24">
        <v>8.0990000000000002</v>
      </c>
      <c r="C54" s="24">
        <v>348.98998999999998</v>
      </c>
      <c r="D54" s="24">
        <v>37.669998</v>
      </c>
      <c r="E54" s="24">
        <v>14.922000000000001</v>
      </c>
      <c r="F54" s="24">
        <v>10.27</v>
      </c>
      <c r="G54" s="22">
        <v>1.053264</v>
      </c>
      <c r="H54" s="22">
        <v>0.85858000000000001</v>
      </c>
      <c r="I54" s="22">
        <v>10.31</v>
      </c>
      <c r="J54" s="22">
        <v>20.6</v>
      </c>
      <c r="K54" s="22">
        <f t="shared" si="0"/>
        <v>19.558249403758225</v>
      </c>
      <c r="L54">
        <f t="shared" si="1"/>
        <v>406.47346781895686</v>
      </c>
      <c r="M54" s="21"/>
      <c r="N54" s="23">
        <f t="shared" si="4"/>
        <v>0.8419794157396816</v>
      </c>
      <c r="O54" s="23">
        <f t="shared" si="5"/>
        <v>0.8663240826762395</v>
      </c>
      <c r="P54" s="23">
        <f t="shared" si="6"/>
        <v>0.89138664890613561</v>
      </c>
      <c r="Q54" s="23">
        <f t="shared" si="7"/>
        <v>0.81603416909297666</v>
      </c>
      <c r="R54" s="23">
        <f t="shared" si="8"/>
        <v>0.8517167026040805</v>
      </c>
      <c r="S54" s="23">
        <f t="shared" si="9"/>
        <v>0.83346806790622519</v>
      </c>
      <c r="T54" s="23">
        <f t="shared" si="10"/>
        <v>0.86591000983984834</v>
      </c>
      <c r="U54" s="23">
        <f t="shared" si="11"/>
        <v>0.89487413996930065</v>
      </c>
      <c r="V54" s="21"/>
      <c r="X54" s="21"/>
      <c r="Y54" s="21"/>
      <c r="Z54" s="21"/>
      <c r="AA54" s="21"/>
      <c r="AB54" s="21"/>
      <c r="AC54" s="21"/>
      <c r="AD54" s="21"/>
      <c r="AE54" s="21"/>
      <c r="AF54" s="21"/>
      <c r="AH54" s="21"/>
    </row>
    <row r="55" spans="2:34">
      <c r="B55" s="24">
        <v>8.1280000000000001</v>
      </c>
      <c r="C55" s="24">
        <v>349.60998499999999</v>
      </c>
      <c r="D55" s="24">
        <v>37.865001999999997</v>
      </c>
      <c r="E55" s="24">
        <v>15.18</v>
      </c>
      <c r="F55" s="24">
        <v>10.288</v>
      </c>
      <c r="G55" s="22">
        <v>1.0564119999999999</v>
      </c>
      <c r="H55" s="22">
        <v>0.86219999999999997</v>
      </c>
      <c r="I55" s="22">
        <v>10.28</v>
      </c>
      <c r="J55" s="22">
        <v>20.350000000000001</v>
      </c>
      <c r="K55" s="22">
        <f t="shared" si="0"/>
        <v>19.263317720737746</v>
      </c>
      <c r="L55">
        <f t="shared" si="1"/>
        <v>405.48594873579219</v>
      </c>
      <c r="M55" s="21"/>
      <c r="N55" s="23">
        <f t="shared" si="4"/>
        <v>0.84499428214991135</v>
      </c>
      <c r="O55" s="23">
        <f t="shared" si="5"/>
        <v>0.867863142864295</v>
      </c>
      <c r="P55" s="23">
        <f t="shared" si="6"/>
        <v>0.89600103625182359</v>
      </c>
      <c r="Q55" s="23">
        <f t="shared" si="7"/>
        <v>0.83014332440901928</v>
      </c>
      <c r="R55" s="23">
        <f t="shared" si="8"/>
        <v>0.85320948747719383</v>
      </c>
      <c r="S55" s="23">
        <f t="shared" si="9"/>
        <v>0.83104284559417985</v>
      </c>
      <c r="T55" s="23">
        <f t="shared" si="10"/>
        <v>0.85540139321557829</v>
      </c>
      <c r="U55" s="23">
        <f t="shared" si="11"/>
        <v>0.88137974531545527</v>
      </c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H55" s="21"/>
    </row>
    <row r="56" spans="2:34">
      <c r="B56" s="24">
        <v>8.2129999999999992</v>
      </c>
      <c r="C56" s="24">
        <v>347.20001200000002</v>
      </c>
      <c r="D56" s="24">
        <v>37.865001999999997</v>
      </c>
      <c r="E56" s="24">
        <v>15.172000000000001</v>
      </c>
      <c r="F56" s="24">
        <v>10.391999999999999</v>
      </c>
      <c r="G56" s="22">
        <v>1.052011</v>
      </c>
      <c r="H56" s="22">
        <v>0.85792000000000002</v>
      </c>
      <c r="I56" s="22">
        <v>10.4</v>
      </c>
      <c r="J56" s="22">
        <v>20.41</v>
      </c>
      <c r="K56" s="22">
        <f t="shared" si="0"/>
        <v>19.400937822893486</v>
      </c>
      <c r="L56">
        <f t="shared" si="1"/>
        <v>404.69975289071243</v>
      </c>
      <c r="M56" s="21"/>
      <c r="N56" s="23">
        <f t="shared" si="4"/>
        <v>0.8538309595592054</v>
      </c>
      <c r="O56" s="23">
        <f t="shared" si="5"/>
        <v>0.86188068574998211</v>
      </c>
      <c r="P56" s="23">
        <f t="shared" si="6"/>
        <v>0.89600103625182359</v>
      </c>
      <c r="Q56" s="23">
        <f t="shared" si="7"/>
        <v>0.82970583122092501</v>
      </c>
      <c r="R56" s="23">
        <f t="shared" si="8"/>
        <v>0.86183446674407049</v>
      </c>
      <c r="S56" s="23">
        <f t="shared" si="9"/>
        <v>0.84074373484236098</v>
      </c>
      <c r="T56" s="23">
        <f t="shared" si="10"/>
        <v>0.85792346120540308</v>
      </c>
      <c r="U56" s="23">
        <f t="shared" si="11"/>
        <v>0.88767645766515257</v>
      </c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H56" s="21"/>
    </row>
    <row r="57" spans="2:34">
      <c r="B57" s="24">
        <v>8.2080000000000002</v>
      </c>
      <c r="C57" s="24">
        <v>338.17001299999998</v>
      </c>
      <c r="D57" s="24">
        <v>37.865001999999997</v>
      </c>
      <c r="E57" s="24">
        <v>15.224</v>
      </c>
      <c r="F57" s="24">
        <v>10.426</v>
      </c>
      <c r="G57" s="22">
        <v>1.056613</v>
      </c>
      <c r="H57" s="22">
        <v>0.86019999999999996</v>
      </c>
      <c r="I57" s="22">
        <v>10.08</v>
      </c>
      <c r="J57" s="22">
        <v>20.149999999999999</v>
      </c>
      <c r="K57" s="22">
        <f t="shared" si="0"/>
        <v>19.070369189097615</v>
      </c>
      <c r="L57">
        <f t="shared" si="1"/>
        <v>393.12951987909787</v>
      </c>
      <c r="M57" s="21"/>
      <c r="N57" s="23">
        <f t="shared" si="4"/>
        <v>0.85331115500571764</v>
      </c>
      <c r="O57" s="23">
        <f t="shared" si="5"/>
        <v>0.8394648405269074</v>
      </c>
      <c r="P57" s="23">
        <f t="shared" si="6"/>
        <v>0.89600103625182359</v>
      </c>
      <c r="Q57" s="23">
        <f t="shared" si="7"/>
        <v>0.83254953694353817</v>
      </c>
      <c r="R57" s="23">
        <f t="shared" si="8"/>
        <v>0.86465417150439561</v>
      </c>
      <c r="S57" s="23">
        <f t="shared" si="9"/>
        <v>0.81487469684721137</v>
      </c>
      <c r="T57" s="23">
        <f t="shared" si="10"/>
        <v>0.84699449991616227</v>
      </c>
      <c r="U57" s="23">
        <f t="shared" si="11"/>
        <v>0.87255151903889372</v>
      </c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H57" s="21"/>
    </row>
    <row r="58" spans="2:34">
      <c r="B58" s="24">
        <v>8.2420000000000009</v>
      </c>
      <c r="C58" s="24">
        <v>339.92999300000002</v>
      </c>
      <c r="D58" s="24">
        <v>37.865001999999997</v>
      </c>
      <c r="E58" s="24">
        <v>15.62</v>
      </c>
      <c r="F58" s="24">
        <v>10.481999999999999</v>
      </c>
      <c r="G58" s="22">
        <v>1.0580890000000001</v>
      </c>
      <c r="H58" s="22">
        <v>0.86260000000000003</v>
      </c>
      <c r="I58" s="22">
        <v>10.119999999999999</v>
      </c>
      <c r="J58" s="22">
        <v>20.09</v>
      </c>
      <c r="K58" s="22">
        <f t="shared" si="0"/>
        <v>18.987060634785919</v>
      </c>
      <c r="L58">
        <f t="shared" si="1"/>
        <v>394.07604103872018</v>
      </c>
      <c r="M58" s="21"/>
      <c r="N58" s="23">
        <f t="shared" si="4"/>
        <v>0.85684582596943537</v>
      </c>
      <c r="O58" s="23">
        <f t="shared" si="5"/>
        <v>0.84383377116308</v>
      </c>
      <c r="P58" s="23">
        <f t="shared" si="6"/>
        <v>0.89600103625182359</v>
      </c>
      <c r="Q58" s="23">
        <f t="shared" si="7"/>
        <v>0.8542054497542082</v>
      </c>
      <c r="R58" s="23">
        <f t="shared" si="8"/>
        <v>0.86929839110963691</v>
      </c>
      <c r="S58" s="23">
        <f t="shared" si="9"/>
        <v>0.81810832659660504</v>
      </c>
      <c r="T58" s="23">
        <f t="shared" si="10"/>
        <v>0.84447243192633747</v>
      </c>
      <c r="U58" s="23">
        <f t="shared" si="11"/>
        <v>0.86873979390170231</v>
      </c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H58" s="21"/>
    </row>
    <row r="59" spans="2:34">
      <c r="B59" s="24">
        <v>8.423</v>
      </c>
      <c r="C59" s="24">
        <v>344.89999399999999</v>
      </c>
      <c r="D59" s="24">
        <v>39.185001</v>
      </c>
      <c r="E59" s="24">
        <v>15.736000000000001</v>
      </c>
      <c r="F59" s="24">
        <v>10.722</v>
      </c>
      <c r="G59" s="22">
        <v>1.0523549999999999</v>
      </c>
      <c r="H59" s="22">
        <v>0.86324000000000001</v>
      </c>
      <c r="I59" s="22">
        <v>10.24</v>
      </c>
      <c r="J59" s="22">
        <v>20.290001</v>
      </c>
      <c r="K59" s="22">
        <f t="shared" si="0"/>
        <v>19.280566918957959</v>
      </c>
      <c r="L59">
        <f t="shared" si="1"/>
        <v>399.54125619758122</v>
      </c>
      <c r="M59" s="21"/>
      <c r="N59" s="23">
        <f t="shared" si="4"/>
        <v>0.87566275080569689</v>
      </c>
      <c r="O59" s="23">
        <f t="shared" si="5"/>
        <v>0.85617117819651656</v>
      </c>
      <c r="P59" s="23">
        <f t="shared" si="6"/>
        <v>0.92723622466806543</v>
      </c>
      <c r="Q59" s="23">
        <f t="shared" si="7"/>
        <v>0.86054910098157633</v>
      </c>
      <c r="R59" s="23">
        <f t="shared" si="8"/>
        <v>0.88920218941781404</v>
      </c>
      <c r="S59" s="23">
        <f t="shared" si="9"/>
        <v>0.82780921584478617</v>
      </c>
      <c r="T59" s="23">
        <f t="shared" si="10"/>
        <v>0.85287936726021996</v>
      </c>
      <c r="U59" s="23">
        <f t="shared" si="11"/>
        <v>0.88216897041959497</v>
      </c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H59" s="21"/>
    </row>
    <row r="60" spans="2:34">
      <c r="B60" s="24">
        <v>8.4640000000000004</v>
      </c>
      <c r="C60" s="24">
        <v>346.07998700000002</v>
      </c>
      <c r="D60" s="24">
        <v>39.389999000000003</v>
      </c>
      <c r="E60" s="24">
        <v>15.52</v>
      </c>
      <c r="F60" s="24">
        <v>10.738</v>
      </c>
      <c r="G60" s="22">
        <v>1.044659</v>
      </c>
      <c r="H60" s="22">
        <v>0.86119999999999997</v>
      </c>
      <c r="I60" s="22">
        <v>10.220000000000001</v>
      </c>
      <c r="J60" s="22">
        <v>20.239999999999998</v>
      </c>
      <c r="K60" s="22">
        <f t="shared" si="0"/>
        <v>19.374743337299538</v>
      </c>
      <c r="L60">
        <f t="shared" si="1"/>
        <v>401.85785764050166</v>
      </c>
      <c r="M60" s="21"/>
      <c r="N60" s="23">
        <f t="shared" si="4"/>
        <v>0.87992514814429756</v>
      </c>
      <c r="O60" s="23">
        <f t="shared" si="5"/>
        <v>0.85910036351008212</v>
      </c>
      <c r="P60" s="23">
        <f t="shared" si="6"/>
        <v>0.93208710043005683</v>
      </c>
      <c r="Q60" s="23">
        <f t="shared" si="7"/>
        <v>0.84873678490302895</v>
      </c>
      <c r="R60" s="23">
        <f t="shared" si="8"/>
        <v>0.89052910930502582</v>
      </c>
      <c r="S60" s="23">
        <f t="shared" si="9"/>
        <v>0.82619240097008939</v>
      </c>
      <c r="T60" s="23">
        <f t="shared" si="10"/>
        <v>0.85077760190089935</v>
      </c>
      <c r="U60" s="23">
        <f t="shared" si="11"/>
        <v>0.88647794713980266</v>
      </c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H60" s="21"/>
    </row>
    <row r="61" spans="2:34">
      <c r="B61" s="24">
        <v>8.4339999999999993</v>
      </c>
      <c r="C61" s="24">
        <v>346.89999399999999</v>
      </c>
      <c r="D61" s="24">
        <v>39.68</v>
      </c>
      <c r="E61" s="24">
        <v>15.432</v>
      </c>
      <c r="F61" s="24">
        <v>10.744</v>
      </c>
      <c r="G61" s="22">
        <v>1.047768</v>
      </c>
      <c r="H61" s="22">
        <v>0.86153999999999997</v>
      </c>
      <c r="I61" s="22">
        <v>10.3</v>
      </c>
      <c r="J61" s="22">
        <v>20.559999000000001</v>
      </c>
      <c r="K61" s="22">
        <f t="shared" si="0"/>
        <v>19.622663604920174</v>
      </c>
      <c r="L61">
        <f t="shared" si="1"/>
        <v>402.65105973025049</v>
      </c>
      <c r="M61" s="21"/>
      <c r="N61" s="23">
        <f t="shared" si="4"/>
        <v>0.87680632082337007</v>
      </c>
      <c r="O61" s="23">
        <f t="shared" si="5"/>
        <v>0.86113592851887533</v>
      </c>
      <c r="P61" s="23">
        <f t="shared" si="6"/>
        <v>0.93894940553475648</v>
      </c>
      <c r="Q61" s="23">
        <f t="shared" si="7"/>
        <v>0.84392435983399117</v>
      </c>
      <c r="R61" s="23">
        <f t="shared" si="8"/>
        <v>0.89102670426273023</v>
      </c>
      <c r="S61" s="23">
        <f t="shared" si="9"/>
        <v>0.83265966046887674</v>
      </c>
      <c r="T61" s="23">
        <f t="shared" si="10"/>
        <v>0.8642285891454986</v>
      </c>
      <c r="U61" s="23">
        <f t="shared" si="11"/>
        <v>0.89782136707928584</v>
      </c>
      <c r="V61" s="21"/>
      <c r="W61" s="21"/>
      <c r="X61" s="21"/>
      <c r="Y61" s="21"/>
      <c r="AA61" s="21"/>
      <c r="AB61" s="21"/>
      <c r="AC61" s="21"/>
      <c r="AD61" s="21"/>
      <c r="AE61" s="21"/>
      <c r="AF61" s="21"/>
      <c r="AH61" s="21"/>
    </row>
    <row r="62" spans="2:34">
      <c r="B62" s="24">
        <v>8.343</v>
      </c>
      <c r="C62" s="24">
        <v>349.14999399999999</v>
      </c>
      <c r="D62" s="24">
        <v>39.299999</v>
      </c>
      <c r="E62" s="24">
        <v>15.218</v>
      </c>
      <c r="F62" s="24">
        <v>10.618</v>
      </c>
      <c r="G62" s="22">
        <v>1.0433950000000001</v>
      </c>
      <c r="H62" s="22">
        <v>0.86219999999999997</v>
      </c>
      <c r="I62" s="22">
        <v>10.48</v>
      </c>
      <c r="J62" s="22">
        <v>20.559999000000001</v>
      </c>
      <c r="K62" s="22">
        <f t="shared" si="0"/>
        <v>19.704904662184504</v>
      </c>
      <c r="L62">
        <f t="shared" si="1"/>
        <v>404.95244026907909</v>
      </c>
      <c r="M62" s="21"/>
      <c r="N62" s="23">
        <f t="shared" si="4"/>
        <v>0.8673458779498906</v>
      </c>
      <c r="O62" s="23">
        <f t="shared" si="5"/>
        <v>0.86672127263152898</v>
      </c>
      <c r="P62" s="23">
        <f t="shared" si="6"/>
        <v>0.92995742687919669</v>
      </c>
      <c r="Q62" s="23">
        <f t="shared" si="7"/>
        <v>0.83222141705246744</v>
      </c>
      <c r="R62" s="23">
        <f t="shared" si="8"/>
        <v>0.88057721015093726</v>
      </c>
      <c r="S62" s="23">
        <f t="shared" si="9"/>
        <v>0.84721099434114833</v>
      </c>
      <c r="T62" s="23">
        <f t="shared" si="10"/>
        <v>0.8642285891454986</v>
      </c>
      <c r="U62" s="23">
        <f t="shared" si="11"/>
        <v>0.90158424962926709</v>
      </c>
      <c r="V62" s="21"/>
      <c r="W62" s="21"/>
      <c r="X62" s="21"/>
      <c r="Y62" s="21"/>
      <c r="Z62" s="21"/>
      <c r="AA62" s="21"/>
      <c r="AC62" s="21"/>
      <c r="AD62" s="21"/>
      <c r="AE62" s="21"/>
      <c r="AF62" s="21"/>
      <c r="AH62" s="21"/>
    </row>
    <row r="63" spans="2:34">
      <c r="B63" s="24">
        <v>8.31</v>
      </c>
      <c r="C63" s="24">
        <v>361.51998900000001</v>
      </c>
      <c r="D63" s="24">
        <v>39.084999000000003</v>
      </c>
      <c r="E63" s="24">
        <v>15.182</v>
      </c>
      <c r="F63" s="24">
        <v>10.564</v>
      </c>
      <c r="G63" s="22">
        <v>1.0433190000000001</v>
      </c>
      <c r="H63" s="22">
        <v>0.86116999999999999</v>
      </c>
      <c r="I63" s="22">
        <v>10.47</v>
      </c>
      <c r="J63" s="22">
        <v>20.690000999999999</v>
      </c>
      <c r="K63" s="22">
        <f t="shared" si="0"/>
        <v>19.830944322877276</v>
      </c>
      <c r="L63">
        <f t="shared" si="1"/>
        <v>419.80095567657958</v>
      </c>
      <c r="M63" s="21"/>
      <c r="N63" s="23">
        <f t="shared" si="4"/>
        <v>0.86391516789687062</v>
      </c>
      <c r="O63" s="23">
        <f t="shared" si="5"/>
        <v>0.89742824096344209</v>
      </c>
      <c r="P63" s="23">
        <f t="shared" si="6"/>
        <v>0.92486987339658655</v>
      </c>
      <c r="Q63" s="23">
        <f t="shared" si="7"/>
        <v>0.83025269770604293</v>
      </c>
      <c r="R63" s="23">
        <f t="shared" si="8"/>
        <v>0.87609885553159739</v>
      </c>
      <c r="S63" s="23">
        <f t="shared" si="9"/>
        <v>0.84640258690379988</v>
      </c>
      <c r="T63" s="23">
        <f t="shared" si="10"/>
        <v>0.86969315385905188</v>
      </c>
      <c r="U63" s="23">
        <f t="shared" si="11"/>
        <v>0.90735110690959164</v>
      </c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H63" s="21"/>
    </row>
    <row r="64" spans="2:34">
      <c r="B64" s="24">
        <v>8.33</v>
      </c>
      <c r="C64" s="24">
        <v>360.29998799999998</v>
      </c>
      <c r="D64" s="24">
        <v>39.185001</v>
      </c>
      <c r="E64" s="24">
        <v>15.204000000000001</v>
      </c>
      <c r="F64" s="24">
        <v>10.651999999999999</v>
      </c>
      <c r="G64" s="22">
        <v>1.0257670000000001</v>
      </c>
      <c r="H64" s="22">
        <v>0.85833000000000004</v>
      </c>
      <c r="I64" s="22">
        <v>10.32</v>
      </c>
      <c r="J64" s="22">
        <v>20.76</v>
      </c>
      <c r="K64" s="22">
        <f t="shared" si="0"/>
        <v>20.238514204492834</v>
      </c>
      <c r="L64">
        <f t="shared" si="1"/>
        <v>419.76860648002514</v>
      </c>
      <c r="M64" s="21"/>
      <c r="N64" s="23">
        <f t="shared" si="4"/>
        <v>0.86599438611082213</v>
      </c>
      <c r="O64" s="23">
        <f t="shared" si="5"/>
        <v>0.89439974078442808</v>
      </c>
      <c r="P64" s="23">
        <f t="shared" si="6"/>
        <v>0.92723622466806543</v>
      </c>
      <c r="Q64" s="23">
        <f t="shared" si="7"/>
        <v>0.83145580397330243</v>
      </c>
      <c r="R64" s="23">
        <f t="shared" si="8"/>
        <v>0.88339691491126227</v>
      </c>
      <c r="S64" s="23">
        <f t="shared" si="9"/>
        <v>0.83427647534357352</v>
      </c>
      <c r="T64" s="23">
        <f t="shared" si="10"/>
        <v>0.87263552447938109</v>
      </c>
      <c r="U64" s="23">
        <f t="shared" si="11"/>
        <v>0.92599918423792493</v>
      </c>
      <c r="V64" s="21"/>
      <c r="W64" s="21"/>
      <c r="X64" s="21"/>
      <c r="Y64" s="21"/>
      <c r="Z64" s="21"/>
      <c r="AA64" s="21"/>
      <c r="AC64" s="21"/>
      <c r="AD64" s="21"/>
      <c r="AE64" s="21"/>
      <c r="AF64" s="21"/>
      <c r="AH64" s="21"/>
    </row>
    <row r="65" spans="2:34">
      <c r="B65" s="24">
        <v>8.3710000000000004</v>
      </c>
      <c r="C65" s="24">
        <v>352.89001500000001</v>
      </c>
      <c r="D65" s="24">
        <v>39.689999</v>
      </c>
      <c r="E65" s="24">
        <v>15.368</v>
      </c>
      <c r="F65" s="24">
        <v>10.682</v>
      </c>
      <c r="G65" s="22">
        <v>1.0186409999999999</v>
      </c>
      <c r="H65" s="22">
        <v>0.85406000000000004</v>
      </c>
      <c r="I65" s="22">
        <v>10.26</v>
      </c>
      <c r="J65" s="22">
        <v>20.389999</v>
      </c>
      <c r="K65" s="22">
        <f t="shared" si="0"/>
        <v>20.016864626497462</v>
      </c>
      <c r="L65">
        <f t="shared" si="1"/>
        <v>413.19112825796782</v>
      </c>
      <c r="M65" s="21"/>
      <c r="N65" s="23">
        <f t="shared" si="4"/>
        <v>0.87025678344942281</v>
      </c>
      <c r="O65" s="23">
        <f t="shared" si="5"/>
        <v>0.87600540786421832</v>
      </c>
      <c r="P65" s="23">
        <f t="shared" si="6"/>
        <v>0.93918601226625698</v>
      </c>
      <c r="Q65" s="23">
        <f t="shared" si="7"/>
        <v>0.84042441432923654</v>
      </c>
      <c r="R65" s="23">
        <f t="shared" si="8"/>
        <v>0.88588488969978452</v>
      </c>
      <c r="S65" s="23">
        <f t="shared" si="9"/>
        <v>0.82942603071948295</v>
      </c>
      <c r="T65" s="23">
        <f t="shared" si="10"/>
        <v>0.85708272984099487</v>
      </c>
      <c r="U65" s="23">
        <f t="shared" si="11"/>
        <v>0.91585776148640541</v>
      </c>
      <c r="V65" s="21"/>
      <c r="W65" s="21"/>
      <c r="X65" s="21"/>
      <c r="Y65" s="21"/>
      <c r="Z65" s="21"/>
      <c r="AA65" s="21"/>
      <c r="AC65" s="21"/>
      <c r="AD65" s="21"/>
      <c r="AE65" s="21"/>
      <c r="AF65" s="21"/>
      <c r="AH65" s="21"/>
    </row>
    <row r="66" spans="2:34">
      <c r="B66" s="24">
        <v>8.3550000000000004</v>
      </c>
      <c r="C66" s="24">
        <v>351.60000600000001</v>
      </c>
      <c r="D66" s="24">
        <v>39.080002</v>
      </c>
      <c r="E66" s="24">
        <v>15.843999999999999</v>
      </c>
      <c r="F66" s="24">
        <v>10.696</v>
      </c>
      <c r="G66" s="22">
        <v>1.0169840000000001</v>
      </c>
      <c r="H66" s="22">
        <v>0.84523999999999999</v>
      </c>
      <c r="I66" s="22">
        <v>10.199999999999999</v>
      </c>
      <c r="J66" s="22">
        <v>20.110001</v>
      </c>
      <c r="K66" s="22">
        <f t="shared" si="0"/>
        <v>19.774156722229648</v>
      </c>
      <c r="L66">
        <f t="shared" si="1"/>
        <v>415.97653447541529</v>
      </c>
      <c r="M66" s="21"/>
      <c r="N66" s="23">
        <f t="shared" si="4"/>
        <v>0.86859340887826153</v>
      </c>
      <c r="O66" s="23">
        <f t="shared" si="5"/>
        <v>0.87280312156492046</v>
      </c>
      <c r="P66" s="23">
        <f t="shared" si="6"/>
        <v>0.92475162918843479</v>
      </c>
      <c r="Q66" s="23">
        <f t="shared" si="7"/>
        <v>0.86645525902084997</v>
      </c>
      <c r="R66" s="23">
        <f t="shared" si="8"/>
        <v>0.88704594460109476</v>
      </c>
      <c r="S66" s="23">
        <f t="shared" si="9"/>
        <v>0.82457558609539239</v>
      </c>
      <c r="T66" s="23">
        <f t="shared" si="10"/>
        <v>0.84531316329074546</v>
      </c>
      <c r="U66" s="23">
        <f t="shared" si="11"/>
        <v>0.90475282961792869</v>
      </c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H66" s="21"/>
    </row>
    <row r="67" spans="2:34">
      <c r="B67" s="24">
        <v>8.5559999999999992</v>
      </c>
      <c r="C67" s="24">
        <v>349.83999599999999</v>
      </c>
      <c r="D67" s="24">
        <v>39.744999</v>
      </c>
      <c r="E67" s="24">
        <v>16.238001000000001</v>
      </c>
      <c r="F67" s="24">
        <v>10.976000000000001</v>
      </c>
      <c r="G67" s="22">
        <v>1.0166109999999999</v>
      </c>
      <c r="H67" s="22">
        <v>0.84594999999999998</v>
      </c>
      <c r="I67" s="22">
        <v>10.26</v>
      </c>
      <c r="J67" s="22">
        <v>20.25</v>
      </c>
      <c r="K67" s="22">
        <f t="shared" ref="K67:K130" si="12">J67/G67</f>
        <v>19.919123440529368</v>
      </c>
      <c r="L67">
        <f t="shared" ref="L67:L130" si="13">C67/H67</f>
        <v>413.54689520657246</v>
      </c>
      <c r="M67" s="21"/>
      <c r="N67" s="23">
        <f t="shared" si="4"/>
        <v>0.88948955192847456</v>
      </c>
      <c r="O67" s="23">
        <f t="shared" si="5"/>
        <v>0.86843411645749313</v>
      </c>
      <c r="P67" s="23">
        <f t="shared" si="6"/>
        <v>0.94048747943622701</v>
      </c>
      <c r="Q67" s="23">
        <f t="shared" si="7"/>
        <v>0.888001853221145</v>
      </c>
      <c r="R67" s="23">
        <f t="shared" si="8"/>
        <v>0.91026704262730151</v>
      </c>
      <c r="S67" s="23">
        <f t="shared" si="9"/>
        <v>0.82942603071948295</v>
      </c>
      <c r="T67" s="23">
        <f t="shared" si="10"/>
        <v>0.85119794656587011</v>
      </c>
      <c r="U67" s="23">
        <f t="shared" si="11"/>
        <v>0.91138568129522179</v>
      </c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H67" s="21"/>
    </row>
    <row r="68" spans="2:34">
      <c r="B68" s="24">
        <v>8.7140000000000004</v>
      </c>
      <c r="C68" s="24">
        <v>350.17999300000002</v>
      </c>
      <c r="D68" s="24">
        <v>39.744999</v>
      </c>
      <c r="E68" s="24">
        <v>16.367999999999999</v>
      </c>
      <c r="F68" s="24">
        <v>11.167999999999999</v>
      </c>
      <c r="G68" s="22">
        <v>1.004753</v>
      </c>
      <c r="H68" s="22">
        <v>0.84419999999999995</v>
      </c>
      <c r="I68" s="22">
        <v>10.3</v>
      </c>
      <c r="J68" s="22">
        <v>20.149999999999999</v>
      </c>
      <c r="K68" s="22">
        <f t="shared" si="12"/>
        <v>20.054680105458754</v>
      </c>
      <c r="L68">
        <f t="shared" si="13"/>
        <v>414.80690950011854</v>
      </c>
      <c r="M68" s="21"/>
      <c r="N68" s="23">
        <f t="shared" ref="N68:N131" si="14">N67+(B68-B67)/B$2</f>
        <v>0.90591537581869197</v>
      </c>
      <c r="O68" s="23">
        <f t="shared" ref="O68:O131" si="15">O67+(C68-C67)/C$2</f>
        <v>0.86927811656516873</v>
      </c>
      <c r="P68" s="23">
        <f t="shared" ref="P68:P131" si="16">P67+(D68-D67)/D$2</f>
        <v>0.94048747943622701</v>
      </c>
      <c r="Q68" s="23">
        <f t="shared" ref="Q68:Q131" si="17">Q67+(E68-E67)/E$2</f>
        <v>0.89511106284102948</v>
      </c>
      <c r="R68" s="23">
        <f t="shared" ref="R68:R131" si="18">R67+(F68-F67)/F$2</f>
        <v>0.92619008127384306</v>
      </c>
      <c r="S68" s="23">
        <f t="shared" ref="S68:S131" si="19">S67+(I68-I67)/I$2</f>
        <v>0.83265966046887674</v>
      </c>
      <c r="T68" s="23">
        <f t="shared" ref="T68:T131" si="20">T67+(J68-J67)/J$2</f>
        <v>0.84699449991616205</v>
      </c>
      <c r="U68" s="23">
        <f t="shared" ref="U68:U131" si="21">U67+(K68-K67)/K$2</f>
        <v>0.91758798250539453</v>
      </c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H68" s="21"/>
    </row>
    <row r="69" spans="2:34">
      <c r="B69" s="24">
        <v>8.7550000000000008</v>
      </c>
      <c r="C69" s="24">
        <v>351.95001200000002</v>
      </c>
      <c r="D69" s="24">
        <v>39.744999</v>
      </c>
      <c r="E69" s="24">
        <v>16.294001000000002</v>
      </c>
      <c r="F69" s="24">
        <v>11.23</v>
      </c>
      <c r="G69" s="22">
        <v>1.0033110000000001</v>
      </c>
      <c r="H69" s="22">
        <v>0.84443000000000001</v>
      </c>
      <c r="I69" s="22">
        <v>10.31</v>
      </c>
      <c r="J69" s="22">
        <v>20.379999000000002</v>
      </c>
      <c r="K69" s="22">
        <f t="shared" si="12"/>
        <v>20.312743506250804</v>
      </c>
      <c r="L69">
        <f t="shared" si="13"/>
        <v>416.79003825065428</v>
      </c>
      <c r="M69" s="21"/>
      <c r="N69" s="23">
        <f t="shared" si="14"/>
        <v>0.91017777315729265</v>
      </c>
      <c r="O69" s="23">
        <f t="shared" si="15"/>
        <v>0.87367196776558431</v>
      </c>
      <c r="P69" s="23">
        <f t="shared" si="16"/>
        <v>0.94048747943622701</v>
      </c>
      <c r="Q69" s="23">
        <f t="shared" si="17"/>
        <v>0.89106430553780547</v>
      </c>
      <c r="R69" s="23">
        <f t="shared" si="18"/>
        <v>0.93133189583678888</v>
      </c>
      <c r="S69" s="23">
        <f t="shared" si="19"/>
        <v>0.83346806790622519</v>
      </c>
      <c r="T69" s="23">
        <f t="shared" si="20"/>
        <v>0.85666238517602411</v>
      </c>
      <c r="U69" s="23">
        <f t="shared" si="21"/>
        <v>0.92939549446998593</v>
      </c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H69" s="21"/>
    </row>
    <row r="70" spans="2:34">
      <c r="B70" s="24">
        <v>8.7110000000000003</v>
      </c>
      <c r="C70" s="24">
        <v>357.02999899999998</v>
      </c>
      <c r="D70" s="24">
        <v>40.840000000000003</v>
      </c>
      <c r="E70" s="24">
        <v>16.283999999999999</v>
      </c>
      <c r="F70" s="24">
        <v>11.17</v>
      </c>
      <c r="G70" s="22">
        <v>1.003271</v>
      </c>
      <c r="H70" s="22">
        <v>0.84565000000000001</v>
      </c>
      <c r="I70" s="22">
        <v>10.45</v>
      </c>
      <c r="J70" s="22">
        <v>20.559999000000001</v>
      </c>
      <c r="K70" s="22">
        <f t="shared" si="12"/>
        <v>20.492966506557053</v>
      </c>
      <c r="L70">
        <f t="shared" si="13"/>
        <v>422.19594276591965</v>
      </c>
      <c r="M70" s="21"/>
      <c r="N70" s="23">
        <f t="shared" si="14"/>
        <v>0.90560349308659915</v>
      </c>
      <c r="O70" s="23">
        <f t="shared" si="15"/>
        <v>0.88628240131349834</v>
      </c>
      <c r="P70" s="23">
        <f t="shared" si="16"/>
        <v>0.96639853130139752</v>
      </c>
      <c r="Q70" s="23">
        <f t="shared" si="17"/>
        <v>0.89051738436603889</v>
      </c>
      <c r="R70" s="23">
        <f t="shared" si="18"/>
        <v>0.9263559462597446</v>
      </c>
      <c r="S70" s="23">
        <f t="shared" si="19"/>
        <v>0.84478577202910299</v>
      </c>
      <c r="T70" s="23">
        <f t="shared" si="20"/>
        <v>0.86422858914549849</v>
      </c>
      <c r="U70" s="23">
        <f t="shared" si="21"/>
        <v>0.93764147288412514</v>
      </c>
      <c r="V70" s="21"/>
      <c r="W70" s="21"/>
      <c r="X70" s="21"/>
      <c r="Y70" s="21"/>
      <c r="Z70" s="21"/>
      <c r="AA70" s="21"/>
      <c r="AC70" s="21"/>
      <c r="AD70" s="21"/>
      <c r="AE70" s="21"/>
      <c r="AF70" s="21"/>
      <c r="AH70" s="21"/>
    </row>
    <row r="71" spans="2:34">
      <c r="B71" s="24">
        <v>8.7219999999999995</v>
      </c>
      <c r="C71" s="24">
        <v>357.27999899999998</v>
      </c>
      <c r="D71" s="24">
        <v>40.959999000000003</v>
      </c>
      <c r="E71" s="24">
        <v>15.956</v>
      </c>
      <c r="F71" s="24">
        <v>11.194000000000001</v>
      </c>
      <c r="G71" s="22">
        <v>1.002567</v>
      </c>
      <c r="H71" s="22">
        <v>0.84665999999999997</v>
      </c>
      <c r="I71" s="22">
        <v>10.46</v>
      </c>
      <c r="J71" s="22">
        <v>20.57</v>
      </c>
      <c r="K71" s="22">
        <f t="shared" si="12"/>
        <v>20.517332008733582</v>
      </c>
      <c r="L71">
        <f t="shared" si="13"/>
        <v>421.98757352420097</v>
      </c>
      <c r="M71" s="21"/>
      <c r="N71" s="23">
        <f t="shared" si="14"/>
        <v>0.90674706310427244</v>
      </c>
      <c r="O71" s="23">
        <f t="shared" si="15"/>
        <v>0.88690299510379322</v>
      </c>
      <c r="P71" s="23">
        <f t="shared" si="16"/>
        <v>0.96923807237283821</v>
      </c>
      <c r="Q71" s="23">
        <f t="shared" si="17"/>
        <v>0.87258016365417079</v>
      </c>
      <c r="R71" s="23">
        <f t="shared" si="18"/>
        <v>0.92834632609056245</v>
      </c>
      <c r="S71" s="23">
        <f t="shared" si="19"/>
        <v>0.84559417946645155</v>
      </c>
      <c r="T71" s="23">
        <f t="shared" si="20"/>
        <v>0.86464897584493572</v>
      </c>
      <c r="U71" s="23">
        <f t="shared" si="21"/>
        <v>0.93875629954141027</v>
      </c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H71" s="21"/>
    </row>
    <row r="72" spans="2:34">
      <c r="B72" s="24">
        <v>8.6039999999999992</v>
      </c>
      <c r="C72" s="24">
        <v>362.66000400000001</v>
      </c>
      <c r="D72" s="24">
        <v>40.959999000000003</v>
      </c>
      <c r="E72" s="24">
        <v>15.98</v>
      </c>
      <c r="F72" s="24">
        <v>10.994</v>
      </c>
      <c r="G72" s="22">
        <v>1.0096320000000001</v>
      </c>
      <c r="H72" s="22">
        <v>0.84909999999999997</v>
      </c>
      <c r="I72" s="22">
        <v>10.39</v>
      </c>
      <c r="J72" s="22">
        <v>20.48</v>
      </c>
      <c r="K72" s="22">
        <f t="shared" si="12"/>
        <v>20.284618554087032</v>
      </c>
      <c r="L72">
        <f t="shared" si="13"/>
        <v>427.11106347897777</v>
      </c>
      <c r="M72" s="21"/>
      <c r="N72" s="23">
        <f t="shared" si="14"/>
        <v>0.89447967564195829</v>
      </c>
      <c r="O72" s="23">
        <f t="shared" si="15"/>
        <v>0.90025818588281414</v>
      </c>
      <c r="P72" s="23">
        <f t="shared" si="16"/>
        <v>0.96923807237283821</v>
      </c>
      <c r="Q72" s="23">
        <f t="shared" si="17"/>
        <v>0.87389264321845384</v>
      </c>
      <c r="R72" s="23">
        <f t="shared" si="18"/>
        <v>0.91175982750041473</v>
      </c>
      <c r="S72" s="23">
        <f t="shared" si="19"/>
        <v>0.83993532740501253</v>
      </c>
      <c r="T72" s="23">
        <f t="shared" si="20"/>
        <v>0.86086587386019853</v>
      </c>
      <c r="U72" s="23">
        <f t="shared" si="21"/>
        <v>0.92810865678530041</v>
      </c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H72" s="21"/>
    </row>
    <row r="73" spans="2:34">
      <c r="B73" s="24">
        <v>8.5440000000000005</v>
      </c>
      <c r="C73" s="24">
        <v>362.36999500000002</v>
      </c>
      <c r="D73" s="24">
        <v>39.904998999999997</v>
      </c>
      <c r="E73" s="24">
        <v>16.396000000000001</v>
      </c>
      <c r="F73" s="24">
        <v>10.932</v>
      </c>
      <c r="G73" s="22">
        <v>1.014518</v>
      </c>
      <c r="H73" s="22">
        <v>0.84889999999999999</v>
      </c>
      <c r="I73" s="22">
        <v>10.32</v>
      </c>
      <c r="J73" s="22">
        <v>20.48</v>
      </c>
      <c r="K73" s="22">
        <f t="shared" si="12"/>
        <v>20.186926205350719</v>
      </c>
      <c r="L73">
        <f t="shared" si="13"/>
        <v>426.87006125574277</v>
      </c>
      <c r="M73" s="21"/>
      <c r="N73" s="23">
        <f t="shared" si="14"/>
        <v>0.88824202100010374</v>
      </c>
      <c r="O73" s="23">
        <f t="shared" si="15"/>
        <v>0.89953827474469572</v>
      </c>
      <c r="P73" s="23">
        <f t="shared" si="16"/>
        <v>0.94427356574886712</v>
      </c>
      <c r="Q73" s="23">
        <f t="shared" si="17"/>
        <v>0.89664228899935983</v>
      </c>
      <c r="R73" s="23">
        <f t="shared" si="18"/>
        <v>0.90661801293746902</v>
      </c>
      <c r="S73" s="23">
        <f t="shared" si="19"/>
        <v>0.83427647534357352</v>
      </c>
      <c r="T73" s="23">
        <f t="shared" si="20"/>
        <v>0.86086587386019853</v>
      </c>
      <c r="U73" s="23">
        <f t="shared" si="21"/>
        <v>0.92363881110779356</v>
      </c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H73" s="21"/>
    </row>
    <row r="74" spans="2:34">
      <c r="B74" s="24">
        <v>8.6739999999999995</v>
      </c>
      <c r="C74" s="24">
        <v>359.14999399999999</v>
      </c>
      <c r="D74" s="24">
        <v>40.659999999999997</v>
      </c>
      <c r="E74" s="24">
        <v>16.472000000000001</v>
      </c>
      <c r="F74" s="24">
        <v>11.118</v>
      </c>
      <c r="G74" s="22">
        <v>1.0231330000000001</v>
      </c>
      <c r="H74" s="22">
        <v>0.85229999999999995</v>
      </c>
      <c r="I74" s="22">
        <v>10.3</v>
      </c>
      <c r="J74" s="22">
        <v>20.309999000000001</v>
      </c>
      <c r="K74" s="22">
        <f t="shared" si="12"/>
        <v>19.850790659669858</v>
      </c>
      <c r="L74">
        <f t="shared" si="13"/>
        <v>421.38917517306112</v>
      </c>
      <c r="M74" s="21"/>
      <c r="N74" s="23">
        <f t="shared" si="14"/>
        <v>0.90175693939078871</v>
      </c>
      <c r="O74" s="23">
        <f t="shared" si="15"/>
        <v>0.89154502424332294</v>
      </c>
      <c r="P74" s="23">
        <f t="shared" si="16"/>
        <v>0.96213918419967726</v>
      </c>
      <c r="Q74" s="23">
        <f t="shared" si="17"/>
        <v>0.90079847428625615</v>
      </c>
      <c r="R74" s="23">
        <f t="shared" si="18"/>
        <v>0.92204345662630627</v>
      </c>
      <c r="S74" s="23">
        <f t="shared" si="19"/>
        <v>0.83265966046887674</v>
      </c>
      <c r="T74" s="23">
        <f t="shared" si="20"/>
        <v>0.85371997252122844</v>
      </c>
      <c r="U74" s="23">
        <f t="shared" si="21"/>
        <v>0.90825916228827952</v>
      </c>
      <c r="V74" s="21"/>
      <c r="W74" s="21"/>
      <c r="X74" s="21"/>
      <c r="Y74" s="21"/>
      <c r="Z74" s="21"/>
      <c r="AA74" s="21"/>
      <c r="AB74" s="21"/>
      <c r="AC74" s="21"/>
      <c r="AE74" s="21"/>
      <c r="AF74" s="21"/>
      <c r="AH74" s="21"/>
    </row>
    <row r="75" spans="2:34">
      <c r="B75" s="24">
        <v>8.718</v>
      </c>
      <c r="C75" s="24">
        <v>353.41000400000001</v>
      </c>
      <c r="D75" s="24">
        <v>40.784999999999997</v>
      </c>
      <c r="E75" s="24">
        <v>16.412001</v>
      </c>
      <c r="F75" s="24">
        <v>11.148</v>
      </c>
      <c r="G75" s="22">
        <v>1.018278</v>
      </c>
      <c r="H75" s="22">
        <v>0.85058</v>
      </c>
      <c r="I75" s="22">
        <v>10.27</v>
      </c>
      <c r="J75" s="22">
        <v>20.170000000000002</v>
      </c>
      <c r="K75" s="22">
        <f t="shared" si="12"/>
        <v>19.807950284696322</v>
      </c>
      <c r="L75">
        <f t="shared" si="13"/>
        <v>415.49296244915234</v>
      </c>
      <c r="M75" s="21"/>
      <c r="N75" s="23">
        <f t="shared" si="14"/>
        <v>0.90633121946148221</v>
      </c>
      <c r="O75" s="23">
        <f t="shared" si="15"/>
        <v>0.87729621564190496</v>
      </c>
      <c r="P75" s="23">
        <f t="shared" si="16"/>
        <v>0.96509706413142737</v>
      </c>
      <c r="Q75" s="23">
        <f t="shared" si="17"/>
        <v>0.89751733006219703</v>
      </c>
      <c r="R75" s="23">
        <f t="shared" si="18"/>
        <v>0.92453143141482841</v>
      </c>
      <c r="S75" s="23">
        <f t="shared" si="19"/>
        <v>0.8302344381568314</v>
      </c>
      <c r="T75" s="23">
        <f t="shared" si="20"/>
        <v>0.84783518924610379</v>
      </c>
      <c r="U75" s="23">
        <f t="shared" si="21"/>
        <v>0.90629903063646411</v>
      </c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H75" s="21"/>
    </row>
    <row r="76" spans="2:34">
      <c r="B76" s="24">
        <v>8.7270000000000003</v>
      </c>
      <c r="C76" s="24">
        <v>353.72000100000002</v>
      </c>
      <c r="D76" s="24">
        <v>40.68</v>
      </c>
      <c r="E76" s="24">
        <v>16.879999000000002</v>
      </c>
      <c r="F76" s="24">
        <v>11.116</v>
      </c>
      <c r="G76" s="22">
        <v>1.022108</v>
      </c>
      <c r="H76" s="22">
        <v>0.85189999999999999</v>
      </c>
      <c r="I76" s="22">
        <v>10.38</v>
      </c>
      <c r="J76" s="22">
        <v>20.370000999999998</v>
      </c>
      <c r="K76" s="22">
        <f t="shared" si="12"/>
        <v>19.929401785329926</v>
      </c>
      <c r="L76">
        <f t="shared" si="13"/>
        <v>415.21305434910204</v>
      </c>
      <c r="M76" s="21"/>
      <c r="N76" s="23">
        <f t="shared" si="14"/>
        <v>0.90726686765776043</v>
      </c>
      <c r="O76" s="23">
        <f t="shared" si="15"/>
        <v>0.87806574449474506</v>
      </c>
      <c r="P76" s="23">
        <f t="shared" si="16"/>
        <v>0.96261244498875731</v>
      </c>
      <c r="Q76" s="23">
        <f t="shared" si="17"/>
        <v>0.92311057219241921</v>
      </c>
      <c r="R76" s="23">
        <f t="shared" si="18"/>
        <v>0.92187759164040484</v>
      </c>
      <c r="S76" s="23">
        <f t="shared" si="19"/>
        <v>0.8391269199676642</v>
      </c>
      <c r="T76" s="23">
        <f t="shared" si="20"/>
        <v>0.85624212457998616</v>
      </c>
      <c r="U76" s="23">
        <f t="shared" si="21"/>
        <v>0.91185595983466694</v>
      </c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H76" s="21"/>
    </row>
    <row r="77" spans="2:34">
      <c r="B77" s="24">
        <v>8.843</v>
      </c>
      <c r="C77" s="24">
        <v>353.709991</v>
      </c>
      <c r="D77" s="24">
        <v>40.68</v>
      </c>
      <c r="E77" s="24">
        <v>16.940000999999999</v>
      </c>
      <c r="F77" s="24">
        <v>11.311999999999999</v>
      </c>
      <c r="G77" s="22">
        <v>1.0200229999999999</v>
      </c>
      <c r="H77" s="22">
        <v>0.85087999999999997</v>
      </c>
      <c r="I77" s="22">
        <v>10.38</v>
      </c>
      <c r="J77" s="22">
        <v>20.67</v>
      </c>
      <c r="K77" s="22">
        <f t="shared" si="12"/>
        <v>20.26424894340618</v>
      </c>
      <c r="L77">
        <f t="shared" si="13"/>
        <v>415.69903041556978</v>
      </c>
      <c r="M77" s="21"/>
      <c r="N77" s="23">
        <f t="shared" si="14"/>
        <v>0.91932633329867941</v>
      </c>
      <c r="O77" s="23">
        <f t="shared" si="15"/>
        <v>0.87804089591938161</v>
      </c>
      <c r="P77" s="23">
        <f t="shared" si="16"/>
        <v>0.96261244498875731</v>
      </c>
      <c r="Q77" s="23">
        <f t="shared" si="17"/>
        <v>0.92639188047642362</v>
      </c>
      <c r="R77" s="23">
        <f t="shared" si="18"/>
        <v>0.93813236025874946</v>
      </c>
      <c r="S77" s="23">
        <f t="shared" si="19"/>
        <v>0.8391269199676642</v>
      </c>
      <c r="T77" s="23">
        <f t="shared" si="20"/>
        <v>0.86885242249464378</v>
      </c>
      <c r="U77" s="23">
        <f t="shared" si="21"/>
        <v>0.92717665937268767</v>
      </c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H77" s="21"/>
    </row>
    <row r="78" spans="2:34">
      <c r="B78" s="24">
        <v>8.9039999999999999</v>
      </c>
      <c r="C78" s="24">
        <v>358.01001000000002</v>
      </c>
      <c r="D78" s="24">
        <v>40.590000000000003</v>
      </c>
      <c r="E78" s="24">
        <v>16.858000000000001</v>
      </c>
      <c r="F78" s="24">
        <v>11.36</v>
      </c>
      <c r="G78" s="22">
        <v>1.0224949999999999</v>
      </c>
      <c r="H78" s="22">
        <v>0.84799999999999998</v>
      </c>
      <c r="I78" s="22">
        <v>10.54</v>
      </c>
      <c r="J78" s="22">
        <v>20.639999</v>
      </c>
      <c r="K78" s="22">
        <f t="shared" si="12"/>
        <v>20.185916801549151</v>
      </c>
      <c r="L78">
        <f t="shared" si="13"/>
        <v>422.18161556603775</v>
      </c>
      <c r="M78" s="21"/>
      <c r="N78" s="23">
        <f t="shared" si="14"/>
        <v>0.9256679488512316</v>
      </c>
      <c r="O78" s="23">
        <f t="shared" si="15"/>
        <v>0.88871515627758102</v>
      </c>
      <c r="P78" s="23">
        <f t="shared" si="16"/>
        <v>0.96048277143789729</v>
      </c>
      <c r="Q78" s="23">
        <f t="shared" si="17"/>
        <v>0.92190752061180814</v>
      </c>
      <c r="R78" s="23">
        <f t="shared" si="18"/>
        <v>0.94211311992038493</v>
      </c>
      <c r="S78" s="23">
        <f t="shared" si="19"/>
        <v>0.85206143896523889</v>
      </c>
      <c r="T78" s="23">
        <f t="shared" si="20"/>
        <v>0.86759134646526481</v>
      </c>
      <c r="U78" s="23">
        <f t="shared" si="21"/>
        <v>0.92359262653676355</v>
      </c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H78" s="21"/>
    </row>
    <row r="79" spans="2:34">
      <c r="B79" s="24">
        <v>8.9320000000000004</v>
      </c>
      <c r="C79" s="24">
        <v>355.44000199999999</v>
      </c>
      <c r="D79" s="24">
        <v>41.104999999999997</v>
      </c>
      <c r="E79" s="24">
        <v>16.739999999999998</v>
      </c>
      <c r="F79" s="24">
        <v>11.406000000000001</v>
      </c>
      <c r="G79" s="22">
        <v>1.012956</v>
      </c>
      <c r="H79" s="22">
        <v>0.84148999999999996</v>
      </c>
      <c r="I79" s="22">
        <v>10.62</v>
      </c>
      <c r="J79" s="22">
        <v>20.84</v>
      </c>
      <c r="K79" s="22">
        <f t="shared" si="12"/>
        <v>20.573450376916668</v>
      </c>
      <c r="L79">
        <f t="shared" si="13"/>
        <v>422.39361370901617</v>
      </c>
      <c r="M79" s="21"/>
      <c r="N79" s="23">
        <f t="shared" si="14"/>
        <v>0.92857885435076382</v>
      </c>
      <c r="O79" s="23">
        <f t="shared" si="15"/>
        <v>0.88233543225434863</v>
      </c>
      <c r="P79" s="23">
        <f t="shared" si="16"/>
        <v>0.97266923675670758</v>
      </c>
      <c r="Q79" s="23">
        <f t="shared" si="17"/>
        <v>0.91545449608741647</v>
      </c>
      <c r="R79" s="23">
        <f t="shared" si="18"/>
        <v>0.94592801459611897</v>
      </c>
      <c r="S79" s="23">
        <f t="shared" si="19"/>
        <v>0.85852869846402624</v>
      </c>
      <c r="T79" s="23">
        <f t="shared" si="20"/>
        <v>0.87599828179914729</v>
      </c>
      <c r="U79" s="23">
        <f t="shared" si="21"/>
        <v>0.94132395656569734</v>
      </c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H79" s="21"/>
    </row>
    <row r="80" spans="2:34">
      <c r="B80" s="24">
        <v>8.9149999999999991</v>
      </c>
      <c r="C80" s="24">
        <v>366.42001299999998</v>
      </c>
      <c r="D80" s="24">
        <v>41.404998999999997</v>
      </c>
      <c r="E80" s="24">
        <v>16.639999</v>
      </c>
      <c r="F80" s="24">
        <v>11.39</v>
      </c>
      <c r="G80" s="22">
        <v>1.020929</v>
      </c>
      <c r="H80" s="22">
        <v>0.83904999999999996</v>
      </c>
      <c r="I80" s="22">
        <v>10.64</v>
      </c>
      <c r="J80" s="22">
        <v>20.84</v>
      </c>
      <c r="K80" s="22">
        <f t="shared" si="12"/>
        <v>20.412780908368752</v>
      </c>
      <c r="L80">
        <f t="shared" si="13"/>
        <v>436.70819736606876</v>
      </c>
      <c r="M80" s="21"/>
      <c r="N80" s="23">
        <f t="shared" si="14"/>
        <v>0.92681151886890489</v>
      </c>
      <c r="O80" s="23">
        <f t="shared" si="15"/>
        <v>0.90959193883022493</v>
      </c>
      <c r="P80" s="23">
        <f t="shared" si="16"/>
        <v>0.97976812492986842</v>
      </c>
      <c r="Q80" s="23">
        <f t="shared" si="17"/>
        <v>0.90998577654958868</v>
      </c>
      <c r="R80" s="23">
        <f t="shared" si="18"/>
        <v>0.94460109470890719</v>
      </c>
      <c r="S80" s="23">
        <f t="shared" si="19"/>
        <v>0.86014551333872324</v>
      </c>
      <c r="T80" s="23">
        <f t="shared" si="20"/>
        <v>0.87599828179914729</v>
      </c>
      <c r="U80" s="23">
        <f t="shared" si="21"/>
        <v>0.93397263643893214</v>
      </c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H80" s="21"/>
    </row>
    <row r="81" spans="2:34">
      <c r="B81" s="24">
        <v>8.9</v>
      </c>
      <c r="C81" s="24">
        <v>371.76998900000001</v>
      </c>
      <c r="D81" s="24">
        <v>41.369999</v>
      </c>
      <c r="E81" s="24">
        <v>17.07</v>
      </c>
      <c r="F81" s="24">
        <v>11.356</v>
      </c>
      <c r="G81" s="22">
        <v>1.0192330000000001</v>
      </c>
      <c r="H81" s="22">
        <v>0.83720000000000006</v>
      </c>
      <c r="I81" s="22">
        <v>10.6</v>
      </c>
      <c r="J81" s="22">
        <v>21.16</v>
      </c>
      <c r="K81" s="22">
        <f t="shared" si="12"/>
        <v>20.760709278447617</v>
      </c>
      <c r="L81">
        <f t="shared" si="13"/>
        <v>444.06353201146675</v>
      </c>
      <c r="M81" s="21"/>
      <c r="N81" s="23">
        <f t="shared" si="14"/>
        <v>0.92525210520844137</v>
      </c>
      <c r="O81" s="23">
        <f t="shared" si="15"/>
        <v>0.92287258636553082</v>
      </c>
      <c r="P81" s="23">
        <f t="shared" si="16"/>
        <v>0.97893991854897844</v>
      </c>
      <c r="Q81" s="23">
        <f t="shared" si="17"/>
        <v>0.93350109009630822</v>
      </c>
      <c r="R81" s="23">
        <f t="shared" si="18"/>
        <v>0.94178138994858207</v>
      </c>
      <c r="S81" s="23">
        <f t="shared" si="19"/>
        <v>0.85691188358932946</v>
      </c>
      <c r="T81" s="23">
        <f t="shared" si="20"/>
        <v>0.8894493110782129</v>
      </c>
      <c r="U81" s="23">
        <f t="shared" si="21"/>
        <v>0.94989185776174734</v>
      </c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H81" s="21"/>
    </row>
    <row r="82" spans="2:34">
      <c r="B82" s="24">
        <v>8.9659999999999993</v>
      </c>
      <c r="C82" s="24">
        <v>376.51998900000001</v>
      </c>
      <c r="D82" s="24">
        <v>41.369999</v>
      </c>
      <c r="E82" s="24">
        <v>17.375999</v>
      </c>
      <c r="F82" s="24">
        <v>11.446</v>
      </c>
      <c r="G82" s="22">
        <v>1.0208250000000001</v>
      </c>
      <c r="H82" s="22">
        <v>0.83819999999999995</v>
      </c>
      <c r="I82" s="22">
        <v>10.6</v>
      </c>
      <c r="J82" s="22">
        <v>21.09</v>
      </c>
      <c r="K82" s="22">
        <f t="shared" si="12"/>
        <v>20.659760487840714</v>
      </c>
      <c r="L82">
        <f t="shared" si="13"/>
        <v>449.20065497494636</v>
      </c>
      <c r="M82" s="21"/>
      <c r="N82" s="23">
        <f t="shared" si="14"/>
        <v>0.93211352531448144</v>
      </c>
      <c r="O82" s="23">
        <f t="shared" si="15"/>
        <v>0.93466386838113291</v>
      </c>
      <c r="P82" s="23">
        <f t="shared" si="16"/>
        <v>0.97893991854897844</v>
      </c>
      <c r="Q82" s="23">
        <f t="shared" si="17"/>
        <v>0.95023514985426838</v>
      </c>
      <c r="R82" s="23">
        <f t="shared" si="18"/>
        <v>0.94924531431414849</v>
      </c>
      <c r="S82" s="23">
        <f t="shared" si="19"/>
        <v>0.85691188358932946</v>
      </c>
      <c r="T82" s="23">
        <f t="shared" si="20"/>
        <v>0.88650689842341723</v>
      </c>
      <c r="U82" s="23">
        <f t="shared" si="21"/>
        <v>0.94527301584443668</v>
      </c>
      <c r="V82" s="21"/>
      <c r="W82" s="21"/>
      <c r="X82" s="21"/>
      <c r="Y82" s="21"/>
      <c r="Z82" s="21"/>
      <c r="AA82" s="21"/>
      <c r="AC82" s="21"/>
      <c r="AD82" s="21"/>
      <c r="AE82" s="21"/>
      <c r="AF82" s="21"/>
      <c r="AH82" s="21"/>
    </row>
    <row r="83" spans="2:34">
      <c r="B83" s="24">
        <v>9.1359999999999992</v>
      </c>
      <c r="C83" s="24">
        <v>369.10998499999999</v>
      </c>
      <c r="D83" s="24">
        <v>41.369999</v>
      </c>
      <c r="E83" s="24">
        <v>17.516000999999999</v>
      </c>
      <c r="F83" s="24">
        <v>11.678000000000001</v>
      </c>
      <c r="G83" s="22">
        <v>1.0261359999999999</v>
      </c>
      <c r="H83" s="22">
        <v>0.83731999999999995</v>
      </c>
      <c r="I83" s="22">
        <v>10.5</v>
      </c>
      <c r="J83" s="22">
        <v>21</v>
      </c>
      <c r="K83" s="22">
        <f t="shared" si="12"/>
        <v>20.465123531383757</v>
      </c>
      <c r="L83">
        <f t="shared" si="13"/>
        <v>440.8230843644007</v>
      </c>
      <c r="M83" s="21"/>
      <c r="N83" s="23">
        <f t="shared" si="14"/>
        <v>0.94978688013306967</v>
      </c>
      <c r="O83" s="23">
        <f t="shared" si="15"/>
        <v>0.91626945850729302</v>
      </c>
      <c r="P83" s="23">
        <f t="shared" si="16"/>
        <v>0.97893991854897844</v>
      </c>
      <c r="Q83" s="23">
        <f t="shared" si="17"/>
        <v>0.95789139001921642</v>
      </c>
      <c r="R83" s="23">
        <f t="shared" si="18"/>
        <v>0.96848565267871978</v>
      </c>
      <c r="S83" s="23">
        <f t="shared" si="19"/>
        <v>0.84882780921584522</v>
      </c>
      <c r="T83" s="23">
        <f t="shared" si="20"/>
        <v>0.88272379643868004</v>
      </c>
      <c r="U83" s="23">
        <f t="shared" si="21"/>
        <v>0.93636753686111862</v>
      </c>
      <c r="V83" s="21"/>
      <c r="W83" s="21"/>
      <c r="X83" s="21"/>
      <c r="Y83" s="21"/>
      <c r="Z83" s="21"/>
      <c r="AA83" s="21"/>
      <c r="AB83" s="21"/>
      <c r="AC83" s="21"/>
      <c r="AD83" s="21"/>
      <c r="AF83" s="21"/>
      <c r="AH83" s="21"/>
    </row>
    <row r="84" spans="2:34">
      <c r="B84" s="24">
        <v>9.1829999999999998</v>
      </c>
      <c r="C84" s="24">
        <v>369.38000499999998</v>
      </c>
      <c r="D84" s="24">
        <v>42.369999</v>
      </c>
      <c r="E84" s="24">
        <v>17.652000000000001</v>
      </c>
      <c r="F84" s="24">
        <v>11.742000000000001</v>
      </c>
      <c r="G84" s="22">
        <v>1.0155689999999999</v>
      </c>
      <c r="H84" s="22">
        <v>0.83628000000000002</v>
      </c>
      <c r="I84" s="22">
        <v>10.68</v>
      </c>
      <c r="J84" s="22">
        <v>21.059999000000001</v>
      </c>
      <c r="K84" s="22">
        <f t="shared" si="12"/>
        <v>20.737142429514886</v>
      </c>
      <c r="L84">
        <f t="shared" si="13"/>
        <v>441.69417539580041</v>
      </c>
      <c r="M84" s="21"/>
      <c r="N84" s="23">
        <f t="shared" si="14"/>
        <v>0.95467304293585586</v>
      </c>
      <c r="O84" s="23">
        <f t="shared" si="15"/>
        <v>0.91693974944831469</v>
      </c>
      <c r="P84" s="23">
        <f t="shared" si="16"/>
        <v>1.0026029580029794</v>
      </c>
      <c r="Q84" s="23">
        <f t="shared" si="17"/>
        <v>0.96532871953017185</v>
      </c>
      <c r="R84" s="23">
        <f t="shared" si="18"/>
        <v>0.97379333222756703</v>
      </c>
      <c r="S84" s="23">
        <f t="shared" si="19"/>
        <v>0.86337914308811681</v>
      </c>
      <c r="T84" s="23">
        <f t="shared" si="20"/>
        <v>0.88524582239403837</v>
      </c>
      <c r="U84" s="23">
        <f t="shared" si="21"/>
        <v>0.94881357292985369</v>
      </c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H84" s="21"/>
    </row>
    <row r="85" spans="2:34">
      <c r="B85" s="24">
        <v>9.2260000000000009</v>
      </c>
      <c r="C85" s="24">
        <v>361.76001000000002</v>
      </c>
      <c r="D85" s="24">
        <v>42.174999</v>
      </c>
      <c r="E85" s="24">
        <v>17.57</v>
      </c>
      <c r="F85" s="24">
        <v>11.792</v>
      </c>
      <c r="G85" s="22">
        <v>1.015765</v>
      </c>
      <c r="H85" s="22">
        <v>0.83660000000000001</v>
      </c>
      <c r="I85" s="22">
        <v>10.79</v>
      </c>
      <c r="J85" s="22">
        <v>21.219999000000001</v>
      </c>
      <c r="K85" s="22">
        <f t="shared" si="12"/>
        <v>20.890657780096774</v>
      </c>
      <c r="L85">
        <f t="shared" si="13"/>
        <v>432.41693760459003</v>
      </c>
      <c r="M85" s="21"/>
      <c r="N85" s="23">
        <f t="shared" si="14"/>
        <v>0.95914336209585183</v>
      </c>
      <c r="O85" s="23">
        <f t="shared" si="15"/>
        <v>0.89802406313200378</v>
      </c>
      <c r="P85" s="23">
        <f t="shared" si="16"/>
        <v>0.99798866530944919</v>
      </c>
      <c r="Q85" s="23">
        <f t="shared" si="17"/>
        <v>0.9608444143522048</v>
      </c>
      <c r="R85" s="23">
        <f t="shared" si="18"/>
        <v>0.97793995687510382</v>
      </c>
      <c r="S85" s="23">
        <f t="shared" si="19"/>
        <v>0.87227162489894938</v>
      </c>
      <c r="T85" s="23">
        <f t="shared" si="20"/>
        <v>0.89197133703357123</v>
      </c>
      <c r="U85" s="23">
        <f t="shared" si="21"/>
        <v>0.95583756134967901</v>
      </c>
      <c r="V85" s="21"/>
      <c r="W85" s="21"/>
      <c r="X85" s="21"/>
      <c r="Y85" s="21"/>
      <c r="Z85" s="21"/>
      <c r="AA85" s="21"/>
      <c r="AC85" s="21"/>
      <c r="AD85" s="21"/>
      <c r="AE85" s="21"/>
      <c r="AF85" s="21"/>
      <c r="AH85" s="21"/>
    </row>
    <row r="86" spans="2:34">
      <c r="B86" s="24">
        <v>9.2390000000000008</v>
      </c>
      <c r="C86" s="24">
        <v>370.32998700000002</v>
      </c>
      <c r="D86" s="24">
        <v>42.514999000000003</v>
      </c>
      <c r="E86" s="24">
        <v>17.993998999999999</v>
      </c>
      <c r="F86" s="24">
        <v>11.826000000000001</v>
      </c>
      <c r="G86" s="22">
        <v>1.0247790000000001</v>
      </c>
      <c r="H86" s="22">
        <v>0.84279000000000004</v>
      </c>
      <c r="I86" s="22">
        <v>10.89</v>
      </c>
      <c r="J86" s="22">
        <v>21.219999000000001</v>
      </c>
      <c r="K86" s="22">
        <f t="shared" si="12"/>
        <v>20.706902659012332</v>
      </c>
      <c r="L86">
        <f t="shared" si="13"/>
        <v>439.40956466023567</v>
      </c>
      <c r="M86" s="21"/>
      <c r="N86" s="23">
        <f t="shared" si="14"/>
        <v>0.96049485393492029</v>
      </c>
      <c r="O86" s="23">
        <f t="shared" si="15"/>
        <v>0.91929796116868234</v>
      </c>
      <c r="P86" s="23">
        <f t="shared" si="16"/>
        <v>1.0060340987238097</v>
      </c>
      <c r="Q86" s="23">
        <f t="shared" si="17"/>
        <v>0.98403149863455652</v>
      </c>
      <c r="R86" s="23">
        <f t="shared" si="18"/>
        <v>0.98075966163542894</v>
      </c>
      <c r="S86" s="23">
        <f t="shared" si="19"/>
        <v>0.88035569927243373</v>
      </c>
      <c r="T86" s="23">
        <f t="shared" si="20"/>
        <v>0.89197133703357123</v>
      </c>
      <c r="U86" s="23">
        <f t="shared" si="21"/>
        <v>0.94742997319847178</v>
      </c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H86" s="21"/>
    </row>
    <row r="87" spans="2:34">
      <c r="B87" s="24">
        <v>9.2949999999999999</v>
      </c>
      <c r="C87" s="24">
        <v>373.70001200000002</v>
      </c>
      <c r="D87" s="24">
        <v>42.52</v>
      </c>
      <c r="E87" s="24">
        <v>17.931999000000001</v>
      </c>
      <c r="F87" s="24">
        <v>11.942</v>
      </c>
      <c r="G87" s="22">
        <v>1.0170870000000001</v>
      </c>
      <c r="H87" s="22">
        <v>0.84340000000000004</v>
      </c>
      <c r="I87" s="22">
        <v>10.88</v>
      </c>
      <c r="J87" s="22">
        <v>21.610001</v>
      </c>
      <c r="K87" s="22">
        <f t="shared" si="12"/>
        <v>21.246954292012383</v>
      </c>
      <c r="L87">
        <f t="shared" si="13"/>
        <v>443.0875171923168</v>
      </c>
      <c r="M87" s="21"/>
      <c r="N87" s="23">
        <f t="shared" si="14"/>
        <v>0.9663166649339846</v>
      </c>
      <c r="O87" s="23">
        <f t="shared" si="15"/>
        <v>0.92766362752123588</v>
      </c>
      <c r="P87" s="23">
        <f t="shared" si="16"/>
        <v>1.0061524375841191</v>
      </c>
      <c r="Q87" s="23">
        <f t="shared" si="17"/>
        <v>0.98064092642682543</v>
      </c>
      <c r="R87" s="23">
        <f t="shared" si="18"/>
        <v>0.99037983081771452</v>
      </c>
      <c r="S87" s="23">
        <f t="shared" si="19"/>
        <v>0.87954729183508529</v>
      </c>
      <c r="T87" s="23">
        <f t="shared" si="20"/>
        <v>0.90836486303636543</v>
      </c>
      <c r="U87" s="23">
        <f t="shared" si="21"/>
        <v>0.97213966119984641</v>
      </c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H87" s="21"/>
    </row>
    <row r="88" spans="2:34">
      <c r="B88" s="24">
        <v>9.2650000000000006</v>
      </c>
      <c r="C88" s="24">
        <v>377.70001200000002</v>
      </c>
      <c r="D88" s="24">
        <v>41.904998999999997</v>
      </c>
      <c r="E88" s="24">
        <v>17.954000000000001</v>
      </c>
      <c r="F88" s="24">
        <v>11.896000000000001</v>
      </c>
      <c r="G88" s="22">
        <v>1.019763</v>
      </c>
      <c r="H88" s="22">
        <v>0.84377000000000002</v>
      </c>
      <c r="I88" s="22">
        <v>10.88</v>
      </c>
      <c r="J88" s="22">
        <v>21.620000999999998</v>
      </c>
      <c r="K88" s="22">
        <f t="shared" si="12"/>
        <v>21.201005527754976</v>
      </c>
      <c r="L88">
        <f t="shared" si="13"/>
        <v>447.63384808656389</v>
      </c>
      <c r="M88" s="21"/>
      <c r="N88" s="23">
        <f t="shared" si="14"/>
        <v>0.96319783761305733</v>
      </c>
      <c r="O88" s="23">
        <f t="shared" si="15"/>
        <v>0.93759312816595342</v>
      </c>
      <c r="P88" s="23">
        <f t="shared" si="16"/>
        <v>0.99159964465686889</v>
      </c>
      <c r="Q88" s="23">
        <f t="shared" si="17"/>
        <v>0.98184408738073337</v>
      </c>
      <c r="R88" s="23">
        <f t="shared" si="18"/>
        <v>0.9865649361419806</v>
      </c>
      <c r="S88" s="23">
        <f t="shared" si="19"/>
        <v>0.87954729183508529</v>
      </c>
      <c r="T88" s="23">
        <f t="shared" si="20"/>
        <v>0.9087852077013362</v>
      </c>
      <c r="U88" s="23">
        <f t="shared" si="21"/>
        <v>0.97003730735167437</v>
      </c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H88" s="21"/>
    </row>
    <row r="89" spans="2:34">
      <c r="B89" s="24">
        <v>9.2260000000000009</v>
      </c>
      <c r="C89" s="24">
        <v>377.05999800000001</v>
      </c>
      <c r="D89" s="24">
        <v>41.904998999999997</v>
      </c>
      <c r="E89" s="24">
        <v>17.962</v>
      </c>
      <c r="F89" s="24">
        <v>11.884</v>
      </c>
      <c r="G89" s="22">
        <v>1.0208140000000001</v>
      </c>
      <c r="H89" s="22">
        <v>0.84550000000000003</v>
      </c>
      <c r="I89" s="22">
        <v>10.98</v>
      </c>
      <c r="J89" s="22">
        <v>21.73</v>
      </c>
      <c r="K89" s="22">
        <f t="shared" si="12"/>
        <v>21.286933760704692</v>
      </c>
      <c r="L89">
        <f t="shared" si="13"/>
        <v>445.96096747486695</v>
      </c>
      <c r="M89" s="21"/>
      <c r="N89" s="23">
        <f t="shared" si="14"/>
        <v>0.95914336209585183</v>
      </c>
      <c r="O89" s="23">
        <f t="shared" si="15"/>
        <v>0.93600437330954633</v>
      </c>
      <c r="P89" s="23">
        <f t="shared" si="16"/>
        <v>0.99159964465686889</v>
      </c>
      <c r="Q89" s="23">
        <f t="shared" si="17"/>
        <v>0.98228158056882764</v>
      </c>
      <c r="R89" s="23">
        <f t="shared" si="18"/>
        <v>0.98556974622657167</v>
      </c>
      <c r="S89" s="23">
        <f t="shared" si="19"/>
        <v>0.88763136620856953</v>
      </c>
      <c r="T89" s="23">
        <f t="shared" si="20"/>
        <v>0.91340895698154856</v>
      </c>
      <c r="U89" s="23">
        <f t="shared" si="21"/>
        <v>0.97396889406848874</v>
      </c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H89" s="21"/>
    </row>
    <row r="90" spans="2:34">
      <c r="B90" s="24">
        <v>9.2899999999999991</v>
      </c>
      <c r="C90" s="24">
        <v>376.76998900000001</v>
      </c>
      <c r="D90" s="24">
        <v>41.904998999999997</v>
      </c>
      <c r="E90" s="24">
        <v>17.705998999999998</v>
      </c>
      <c r="F90" s="24">
        <v>11.972</v>
      </c>
      <c r="G90" s="22">
        <v>1.030078</v>
      </c>
      <c r="H90" s="22">
        <v>0.84330000000000005</v>
      </c>
      <c r="I90" s="22">
        <v>11.01</v>
      </c>
      <c r="J90" s="22">
        <v>21.85</v>
      </c>
      <c r="K90" s="22">
        <f t="shared" si="12"/>
        <v>21.211985888447284</v>
      </c>
      <c r="L90">
        <f t="shared" si="13"/>
        <v>446.78049211431278</v>
      </c>
      <c r="M90" s="21"/>
      <c r="N90" s="23">
        <f t="shared" si="14"/>
        <v>0.96579686038049661</v>
      </c>
      <c r="O90" s="23">
        <f t="shared" si="15"/>
        <v>0.93528446217142791</v>
      </c>
      <c r="P90" s="23">
        <f t="shared" si="16"/>
        <v>0.99159964465686889</v>
      </c>
      <c r="Q90" s="23">
        <f t="shared" si="17"/>
        <v>0.96828174386316002</v>
      </c>
      <c r="R90" s="23">
        <f t="shared" si="18"/>
        <v>0.99286780560623655</v>
      </c>
      <c r="S90" s="23">
        <f t="shared" si="19"/>
        <v>0.89005658852061476</v>
      </c>
      <c r="T90" s="23">
        <f t="shared" si="20"/>
        <v>0.91845309296119815</v>
      </c>
      <c r="U90" s="23">
        <f t="shared" si="21"/>
        <v>0.97053970614147578</v>
      </c>
      <c r="V90" s="21"/>
      <c r="W90" s="21"/>
      <c r="X90" s="21"/>
      <c r="Y90" s="21"/>
      <c r="Z90" s="21"/>
      <c r="AA90" s="21"/>
      <c r="AC90" s="21"/>
      <c r="AD90" s="21"/>
      <c r="AE90" s="21"/>
      <c r="AF90" s="21"/>
      <c r="AH90" s="21"/>
    </row>
    <row r="91" spans="2:34">
      <c r="B91" s="24">
        <v>9.1839999999999993</v>
      </c>
      <c r="C91" s="24">
        <v>383.97000100000002</v>
      </c>
      <c r="D91" s="24">
        <v>42.465000000000003</v>
      </c>
      <c r="E91" s="24">
        <v>17.896000000000001</v>
      </c>
      <c r="F91" s="24">
        <v>11.821999999999999</v>
      </c>
      <c r="G91" s="22">
        <v>1.0316719999999999</v>
      </c>
      <c r="H91" s="22">
        <v>0.84597999999999995</v>
      </c>
      <c r="I91" s="22">
        <v>11</v>
      </c>
      <c r="J91" s="22">
        <v>21.799999</v>
      </c>
      <c r="K91" s="22">
        <f t="shared" si="12"/>
        <v>21.130746012298484</v>
      </c>
      <c r="L91">
        <f t="shared" si="13"/>
        <v>453.87597933757303</v>
      </c>
      <c r="M91" s="21"/>
      <c r="N91" s="23">
        <f t="shared" si="14"/>
        <v>0.9547770038465534</v>
      </c>
      <c r="O91" s="23">
        <f t="shared" si="15"/>
        <v>0.95315759312042136</v>
      </c>
      <c r="P91" s="23">
        <f t="shared" si="16"/>
        <v>1.0048509704141491</v>
      </c>
      <c r="Q91" s="23">
        <f t="shared" si="17"/>
        <v>0.97867226176704936</v>
      </c>
      <c r="R91" s="23">
        <f t="shared" si="18"/>
        <v>0.98042793166362585</v>
      </c>
      <c r="S91" s="23">
        <f t="shared" si="19"/>
        <v>0.88924818108326631</v>
      </c>
      <c r="T91" s="23">
        <f t="shared" si="20"/>
        <v>0.91635132760187754</v>
      </c>
      <c r="U91" s="23">
        <f t="shared" si="21"/>
        <v>0.96682263193922635</v>
      </c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spans="2:34">
      <c r="B92" s="24">
        <v>9.2620000000000005</v>
      </c>
      <c r="C92" s="24">
        <v>386.92999300000002</v>
      </c>
      <c r="D92" s="24">
        <v>42.294998</v>
      </c>
      <c r="E92" s="24">
        <v>18.030000999999999</v>
      </c>
      <c r="F92" s="24">
        <v>11.904</v>
      </c>
      <c r="G92" s="22">
        <v>1.025641</v>
      </c>
      <c r="H92" s="22">
        <v>0.84540000000000004</v>
      </c>
      <c r="I92" s="22">
        <v>11.02</v>
      </c>
      <c r="J92" s="22">
        <v>22.01</v>
      </c>
      <c r="K92" s="22">
        <f t="shared" si="12"/>
        <v>21.459750536493765</v>
      </c>
      <c r="L92">
        <f t="shared" si="13"/>
        <v>457.68865980600901</v>
      </c>
      <c r="N92" s="23">
        <f t="shared" si="14"/>
        <v>0.96288595488096462</v>
      </c>
      <c r="O92" s="23">
        <f t="shared" si="15"/>
        <v>0.96050540373851101</v>
      </c>
      <c r="P92" s="23">
        <f t="shared" si="16"/>
        <v>1.00082820638089</v>
      </c>
      <c r="Q92" s="23">
        <f t="shared" si="17"/>
        <v>0.98600032735427801</v>
      </c>
      <c r="R92" s="23">
        <f t="shared" si="18"/>
        <v>0.98722839608558643</v>
      </c>
      <c r="S92" s="23">
        <f t="shared" si="19"/>
        <v>0.89086499595796309</v>
      </c>
      <c r="T92" s="23">
        <f t="shared" si="20"/>
        <v>0.9251786076007309</v>
      </c>
      <c r="U92" s="23">
        <f t="shared" si="21"/>
        <v>0.98187600581524859</v>
      </c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H92" s="21"/>
    </row>
    <row r="93" spans="2:34">
      <c r="B93" s="24">
        <v>9.3379999999999992</v>
      </c>
      <c r="C93" s="24">
        <v>387.88000499999998</v>
      </c>
      <c r="D93" s="24">
        <v>42.830002</v>
      </c>
      <c r="E93" s="24">
        <v>18.275998999999999</v>
      </c>
      <c r="F93" s="24">
        <v>12.02</v>
      </c>
      <c r="G93" s="22">
        <v>1.0161979999999999</v>
      </c>
      <c r="H93" s="22">
        <v>0.8427</v>
      </c>
      <c r="I93" s="22">
        <v>10.94</v>
      </c>
      <c r="J93" s="22">
        <v>21.780000999999999</v>
      </c>
      <c r="K93" s="22">
        <f t="shared" si="12"/>
        <v>21.432831987467008</v>
      </c>
      <c r="L93">
        <f t="shared" si="13"/>
        <v>460.2824314702741</v>
      </c>
      <c r="M93" s="21"/>
      <c r="N93" s="23">
        <f t="shared" si="14"/>
        <v>0.97078698409398045</v>
      </c>
      <c r="O93" s="23">
        <f t="shared" si="15"/>
        <v>0.96286368993013327</v>
      </c>
      <c r="P93" s="23">
        <f t="shared" si="16"/>
        <v>1.0134880271409383</v>
      </c>
      <c r="Q93" s="23">
        <f t="shared" si="17"/>
        <v>0.99945313351488207</v>
      </c>
      <c r="R93" s="23">
        <f t="shared" si="18"/>
        <v>0.99684856526787202</v>
      </c>
      <c r="S93" s="23">
        <f t="shared" si="19"/>
        <v>0.88439773645917574</v>
      </c>
      <c r="T93" s="23">
        <f t="shared" si="20"/>
        <v>0.91551072234086883</v>
      </c>
      <c r="U93" s="23">
        <f t="shared" si="21"/>
        <v>0.98064436626958906</v>
      </c>
      <c r="V93" s="21"/>
      <c r="W93" s="21"/>
      <c r="X93" s="21"/>
      <c r="Y93" s="21"/>
      <c r="Z93" s="21"/>
      <c r="AA93" s="21"/>
      <c r="AB93" s="21"/>
      <c r="AC93" s="21"/>
      <c r="AE93" s="21"/>
      <c r="AF93" s="21"/>
      <c r="AH93" s="21"/>
    </row>
    <row r="94" spans="2:34">
      <c r="B94" s="24">
        <v>9.4019999999999992</v>
      </c>
      <c r="C94" s="24">
        <v>385.23001099999999</v>
      </c>
      <c r="D94" s="24">
        <v>43.305</v>
      </c>
      <c r="E94" s="24">
        <v>18.535999</v>
      </c>
      <c r="F94" s="24">
        <v>12.141999999999999</v>
      </c>
      <c r="G94" s="22">
        <v>1.017066</v>
      </c>
      <c r="H94" s="22">
        <v>0.84060000000000001</v>
      </c>
      <c r="I94" s="22">
        <v>11.11</v>
      </c>
      <c r="J94" s="22">
        <v>21.98</v>
      </c>
      <c r="K94" s="22">
        <f t="shared" si="12"/>
        <v>21.611183541677729</v>
      </c>
      <c r="L94">
        <f t="shared" si="13"/>
        <v>458.27981322864616</v>
      </c>
      <c r="M94" s="21"/>
      <c r="N94" s="23">
        <f t="shared" si="14"/>
        <v>0.97744048237862546</v>
      </c>
      <c r="O94" s="23">
        <f t="shared" si="15"/>
        <v>0.95628541064725892</v>
      </c>
      <c r="P94" s="23">
        <f t="shared" si="16"/>
        <v>1.0247279235555098</v>
      </c>
      <c r="Q94" s="23">
        <f t="shared" si="17"/>
        <v>1.0136716621279485</v>
      </c>
      <c r="R94" s="23">
        <f t="shared" si="18"/>
        <v>1.0069663294078621</v>
      </c>
      <c r="S94" s="23">
        <f t="shared" si="19"/>
        <v>0.89814066289409888</v>
      </c>
      <c r="T94" s="23">
        <f t="shared" si="20"/>
        <v>0.92391757360581839</v>
      </c>
      <c r="U94" s="23">
        <f t="shared" si="21"/>
        <v>0.98880471796526992</v>
      </c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H94" s="21"/>
    </row>
    <row r="95" spans="2:34">
      <c r="B95" s="24">
        <v>9.5950000000000006</v>
      </c>
      <c r="C95" s="24">
        <v>382.05999800000001</v>
      </c>
      <c r="D95" s="24">
        <v>44.115001999999997</v>
      </c>
      <c r="E95" s="24">
        <v>18.601998999999999</v>
      </c>
      <c r="F95" s="24">
        <v>12.458</v>
      </c>
      <c r="G95" s="22">
        <v>1.018019</v>
      </c>
      <c r="H95" s="22">
        <v>0.84499999999999997</v>
      </c>
      <c r="I95" s="22">
        <v>11.12</v>
      </c>
      <c r="J95" s="22">
        <v>22.200001</v>
      </c>
      <c r="K95" s="22">
        <f t="shared" si="12"/>
        <v>21.807059593190303</v>
      </c>
      <c r="L95">
        <f t="shared" si="13"/>
        <v>452.14200946745564</v>
      </c>
      <c r="M95" s="21"/>
      <c r="N95" s="23">
        <f t="shared" si="14"/>
        <v>0.99750493814325814</v>
      </c>
      <c r="O95" s="23">
        <f t="shared" si="15"/>
        <v>0.9484162491154432</v>
      </c>
      <c r="P95" s="23">
        <f t="shared" si="16"/>
        <v>1.0438950328393293</v>
      </c>
      <c r="Q95" s="23">
        <f t="shared" si="17"/>
        <v>1.0172809809297267</v>
      </c>
      <c r="R95" s="23">
        <f t="shared" si="18"/>
        <v>1.0331729971802954</v>
      </c>
      <c r="S95" s="23">
        <f t="shared" si="19"/>
        <v>0.89894907033144733</v>
      </c>
      <c r="T95" s="23">
        <f t="shared" si="20"/>
        <v>0.9331651982696425</v>
      </c>
      <c r="U95" s="23">
        <f t="shared" si="21"/>
        <v>0.99776689088368131</v>
      </c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H95" s="21"/>
    </row>
    <row r="96" spans="2:34">
      <c r="B96" s="24">
        <v>9.5069999999999997</v>
      </c>
      <c r="C96" s="24">
        <v>388.85998499999999</v>
      </c>
      <c r="D96" s="24">
        <v>44.110000999999997</v>
      </c>
      <c r="E96" s="24">
        <v>18.417998999999998</v>
      </c>
      <c r="F96" s="24">
        <v>12.342000000000001</v>
      </c>
      <c r="G96" s="22">
        <v>1.0089900000000001</v>
      </c>
      <c r="H96" s="22">
        <v>0.84548000000000001</v>
      </c>
      <c r="I96" s="22">
        <v>11.23</v>
      </c>
      <c r="J96" s="22">
        <v>22.17</v>
      </c>
      <c r="K96" s="22">
        <f t="shared" si="12"/>
        <v>21.972467517021972</v>
      </c>
      <c r="L96">
        <f t="shared" si="13"/>
        <v>459.92807044519088</v>
      </c>
      <c r="M96" s="21"/>
      <c r="N96" s="23">
        <f t="shared" si="14"/>
        <v>0.98835637800187115</v>
      </c>
      <c r="O96" s="23">
        <f t="shared" si="15"/>
        <v>0.96529636794058582</v>
      </c>
      <c r="P96" s="23">
        <f t="shared" si="16"/>
        <v>1.0437766939790198</v>
      </c>
      <c r="Q96" s="23">
        <f t="shared" si="17"/>
        <v>1.0072186376035568</v>
      </c>
      <c r="R96" s="23">
        <f t="shared" si="18"/>
        <v>1.0235528279980097</v>
      </c>
      <c r="S96" s="23">
        <f t="shared" si="19"/>
        <v>0.90784155214228013</v>
      </c>
      <c r="T96" s="23">
        <f t="shared" si="20"/>
        <v>0.93190412224026364</v>
      </c>
      <c r="U96" s="23">
        <f t="shared" si="21"/>
        <v>1.0053350157463559</v>
      </c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H96" s="21"/>
    </row>
    <row r="97" spans="2:34">
      <c r="B97" s="24">
        <v>9.5589999999999993</v>
      </c>
      <c r="C97" s="24">
        <v>390.23998999999998</v>
      </c>
      <c r="D97" s="24">
        <v>44.404998999999997</v>
      </c>
      <c r="E97" s="24">
        <v>18.698</v>
      </c>
      <c r="F97" s="24">
        <v>12.43</v>
      </c>
      <c r="G97" s="22">
        <v>1.003522</v>
      </c>
      <c r="H97" s="22">
        <v>0.84907999999999995</v>
      </c>
      <c r="I97" s="22">
        <v>11.25</v>
      </c>
      <c r="J97" s="22">
        <v>22.290001</v>
      </c>
      <c r="K97" s="22">
        <f t="shared" si="12"/>
        <v>22.211771142037744</v>
      </c>
      <c r="L97">
        <f t="shared" si="13"/>
        <v>459.60332359730535</v>
      </c>
      <c r="M97" s="21"/>
      <c r="N97" s="23">
        <f t="shared" si="14"/>
        <v>0.99376234535814512</v>
      </c>
      <c r="O97" s="23">
        <f t="shared" si="15"/>
        <v>0.96872205807488909</v>
      </c>
      <c r="P97" s="23">
        <f t="shared" si="16"/>
        <v>1.0507572432918713</v>
      </c>
      <c r="Q97" s="23">
        <f t="shared" si="17"/>
        <v>1.0225309538735075</v>
      </c>
      <c r="R97" s="23">
        <f t="shared" si="18"/>
        <v>1.0308508873776747</v>
      </c>
      <c r="S97" s="23">
        <f t="shared" si="19"/>
        <v>0.90945836701697691</v>
      </c>
      <c r="T97" s="23">
        <f t="shared" si="20"/>
        <v>0.9369483002543797</v>
      </c>
      <c r="U97" s="23">
        <f t="shared" si="21"/>
        <v>1.0162841871781496</v>
      </c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H97" s="21"/>
    </row>
    <row r="98" spans="2:34">
      <c r="B98" s="24">
        <v>9.5020000000000007</v>
      </c>
      <c r="C98" s="24">
        <v>396.79998799999998</v>
      </c>
      <c r="D98" s="24">
        <v>44.740001999999997</v>
      </c>
      <c r="E98" s="24">
        <v>18.489999999999998</v>
      </c>
      <c r="F98" s="24">
        <v>12.353999999999999</v>
      </c>
      <c r="G98" s="22">
        <v>0.99394700000000002</v>
      </c>
      <c r="H98" s="22">
        <v>0.84467000000000003</v>
      </c>
      <c r="I98" s="22">
        <v>11.24</v>
      </c>
      <c r="J98" s="22">
        <v>22.290001</v>
      </c>
      <c r="K98" s="22">
        <f t="shared" si="12"/>
        <v>22.425744028605145</v>
      </c>
      <c r="L98">
        <f t="shared" si="13"/>
        <v>469.76924479382478</v>
      </c>
      <c r="M98" s="21"/>
      <c r="N98" s="23">
        <f t="shared" si="14"/>
        <v>0.98783657344838338</v>
      </c>
      <c r="O98" s="23">
        <f t="shared" si="15"/>
        <v>0.98500643416747546</v>
      </c>
      <c r="P98" s="23">
        <f t="shared" si="16"/>
        <v>1.05868443249808</v>
      </c>
      <c r="Q98" s="23">
        <f t="shared" si="17"/>
        <v>1.0111561309830543</v>
      </c>
      <c r="R98" s="23">
        <f t="shared" si="18"/>
        <v>1.0245480179134185</v>
      </c>
      <c r="S98" s="23">
        <f t="shared" si="19"/>
        <v>0.90864995957962846</v>
      </c>
      <c r="T98" s="23">
        <f t="shared" si="20"/>
        <v>0.9369483002543797</v>
      </c>
      <c r="U98" s="23">
        <f t="shared" si="21"/>
        <v>1.0260743682363254</v>
      </c>
      <c r="V98" s="21"/>
      <c r="W98" s="21"/>
      <c r="X98" s="21"/>
      <c r="Y98" s="21"/>
      <c r="Z98" s="21"/>
      <c r="AA98" s="21"/>
      <c r="AC98" s="21"/>
      <c r="AD98" s="21"/>
      <c r="AE98" s="21"/>
      <c r="AH98" s="21"/>
    </row>
    <row r="99" spans="2:34">
      <c r="B99" s="24">
        <v>9.4480000000000004</v>
      </c>
      <c r="C99" s="24">
        <v>399.77999899999998</v>
      </c>
      <c r="D99" s="24">
        <v>44.775002000000001</v>
      </c>
      <c r="E99" s="24">
        <v>18.261998999999999</v>
      </c>
      <c r="F99" s="24">
        <v>12.298</v>
      </c>
      <c r="G99" s="22">
        <v>0.99669099999999999</v>
      </c>
      <c r="H99" s="22">
        <v>0.84240999999999999</v>
      </c>
      <c r="I99" s="22">
        <v>11.15</v>
      </c>
      <c r="J99" s="22">
        <v>22.16</v>
      </c>
      <c r="K99" s="22">
        <f t="shared" si="12"/>
        <v>22.23357088606198</v>
      </c>
      <c r="L99">
        <f t="shared" si="13"/>
        <v>474.56701487399243</v>
      </c>
      <c r="M99" s="21"/>
      <c r="N99" s="23">
        <f t="shared" si="14"/>
        <v>0.98222268427071413</v>
      </c>
      <c r="O99" s="23">
        <f t="shared" si="15"/>
        <v>0.99240393945391681</v>
      </c>
      <c r="P99" s="23">
        <f t="shared" si="16"/>
        <v>1.0595126388789702</v>
      </c>
      <c r="Q99" s="23">
        <f t="shared" si="17"/>
        <v>0.99868752043571707</v>
      </c>
      <c r="R99" s="23">
        <f t="shared" si="18"/>
        <v>1.0199037983081773</v>
      </c>
      <c r="S99" s="23">
        <f t="shared" si="19"/>
        <v>0.90137429264349267</v>
      </c>
      <c r="T99" s="23">
        <f t="shared" si="20"/>
        <v>0.93148377757529277</v>
      </c>
      <c r="U99" s="23">
        <f t="shared" si="21"/>
        <v>1.0172816193502483</v>
      </c>
      <c r="V99" s="21"/>
      <c r="W99" s="21"/>
      <c r="X99" s="21"/>
      <c r="Y99" s="21"/>
      <c r="Z99" s="21"/>
      <c r="AA99" s="21"/>
      <c r="AC99" s="21"/>
      <c r="AD99" s="21"/>
      <c r="AE99" s="21"/>
      <c r="AH99" s="21"/>
    </row>
    <row r="100" spans="2:34">
      <c r="B100" s="24">
        <v>9.3539999999999992</v>
      </c>
      <c r="C100" s="24">
        <v>397.040009</v>
      </c>
      <c r="D100" s="24">
        <v>44.604999999999997</v>
      </c>
      <c r="E100" s="24">
        <v>18.079999999999998</v>
      </c>
      <c r="F100" s="24">
        <v>12.157999999999999</v>
      </c>
      <c r="G100" s="22">
        <v>0.99690999999999996</v>
      </c>
      <c r="H100" s="22">
        <v>0.84519999999999995</v>
      </c>
      <c r="I100" s="22">
        <v>11.1</v>
      </c>
      <c r="J100" s="22">
        <v>22.129999000000002</v>
      </c>
      <c r="K100" s="22">
        <f t="shared" si="12"/>
        <v>22.198592651292497</v>
      </c>
      <c r="L100">
        <f t="shared" si="13"/>
        <v>469.75864765735923</v>
      </c>
      <c r="M100" s="21"/>
      <c r="N100" s="23">
        <f t="shared" si="14"/>
        <v>0.97245035866514173</v>
      </c>
      <c r="O100" s="23">
        <f t="shared" si="15"/>
        <v>0.98560225633603693</v>
      </c>
      <c r="P100" s="23">
        <f t="shared" si="16"/>
        <v>1.0554898748457111</v>
      </c>
      <c r="Q100" s="23">
        <f t="shared" si="17"/>
        <v>0.9887346050932192</v>
      </c>
      <c r="R100" s="23">
        <f t="shared" si="18"/>
        <v>1.008293249295074</v>
      </c>
      <c r="S100" s="23">
        <f t="shared" si="19"/>
        <v>0.89733225545675044</v>
      </c>
      <c r="T100" s="23">
        <f t="shared" si="20"/>
        <v>0.93022270154591391</v>
      </c>
      <c r="U100" s="23">
        <f t="shared" si="21"/>
        <v>1.015681214471938</v>
      </c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H100" s="21"/>
    </row>
    <row r="101" spans="2:34">
      <c r="B101" s="24">
        <v>9.4120000000000008</v>
      </c>
      <c r="C101" s="24">
        <v>394.61999500000002</v>
      </c>
      <c r="D101" s="24">
        <v>44.740001999999997</v>
      </c>
      <c r="E101" s="24">
        <v>18.091999000000001</v>
      </c>
      <c r="F101" s="24">
        <v>12.224</v>
      </c>
      <c r="G101" s="22">
        <v>0.99712800000000001</v>
      </c>
      <c r="H101" s="22">
        <v>0.84328999999999998</v>
      </c>
      <c r="I101" s="22">
        <v>10.98</v>
      </c>
      <c r="J101" s="22">
        <v>22.01</v>
      </c>
      <c r="K101" s="22">
        <f t="shared" si="12"/>
        <v>22.07339478983641</v>
      </c>
      <c r="L101">
        <f t="shared" si="13"/>
        <v>467.95289283639084</v>
      </c>
      <c r="M101" s="21"/>
      <c r="N101" s="23">
        <f t="shared" si="14"/>
        <v>0.97848009148560144</v>
      </c>
      <c r="O101" s="23">
        <f t="shared" si="15"/>
        <v>0.97959487369273057</v>
      </c>
      <c r="P101" s="23">
        <f t="shared" si="16"/>
        <v>1.0586844324980802</v>
      </c>
      <c r="Q101" s="23">
        <f t="shared" si="17"/>
        <v>0.98939079018871234</v>
      </c>
      <c r="R101" s="23">
        <f t="shared" si="18"/>
        <v>1.0137667938298227</v>
      </c>
      <c r="S101" s="23">
        <f t="shared" si="19"/>
        <v>0.88763136620856942</v>
      </c>
      <c r="T101" s="23">
        <f t="shared" si="20"/>
        <v>0.92517860760073078</v>
      </c>
      <c r="U101" s="23">
        <f t="shared" si="21"/>
        <v>1.0099528731319927</v>
      </c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H101" s="21"/>
    </row>
    <row r="102" spans="2:34">
      <c r="B102" s="24">
        <v>9.4290000000000003</v>
      </c>
      <c r="C102" s="24">
        <v>401.709991</v>
      </c>
      <c r="D102" s="24">
        <v>45.029998999999997</v>
      </c>
      <c r="E102" s="24">
        <v>18.187999999999999</v>
      </c>
      <c r="F102" s="24">
        <v>12.238</v>
      </c>
      <c r="G102" s="22">
        <v>0.99386799999999997</v>
      </c>
      <c r="H102" s="22">
        <v>0.8498</v>
      </c>
      <c r="I102" s="22">
        <v>10.81</v>
      </c>
      <c r="J102" s="22">
        <v>21.75</v>
      </c>
      <c r="K102" s="22">
        <f t="shared" si="12"/>
        <v>21.884193876852862</v>
      </c>
      <c r="L102">
        <f t="shared" si="13"/>
        <v>472.71121558013652</v>
      </c>
      <c r="M102" s="21"/>
      <c r="N102" s="23">
        <f t="shared" si="14"/>
        <v>0.98024742696746026</v>
      </c>
      <c r="O102" s="23">
        <f t="shared" si="15"/>
        <v>0.99719490365599173</v>
      </c>
      <c r="P102" s="23">
        <f t="shared" si="16"/>
        <v>1.0655466429506222</v>
      </c>
      <c r="Q102" s="23">
        <f t="shared" si="17"/>
        <v>0.99464076313249283</v>
      </c>
      <c r="R102" s="23">
        <f t="shared" si="18"/>
        <v>1.0149278487311331</v>
      </c>
      <c r="S102" s="23">
        <f t="shared" si="19"/>
        <v>0.87388843977364616</v>
      </c>
      <c r="T102" s="23">
        <f t="shared" si="20"/>
        <v>0.91424964631148997</v>
      </c>
      <c r="U102" s="23">
        <f t="shared" si="21"/>
        <v>1.0012961165485008</v>
      </c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H102" s="21"/>
    </row>
    <row r="103" spans="2:34">
      <c r="B103" s="24">
        <v>9.2859999999999996</v>
      </c>
      <c r="C103" s="24">
        <v>395.36999500000002</v>
      </c>
      <c r="D103" s="24">
        <v>44.544998</v>
      </c>
      <c r="E103" s="24">
        <v>17.847999999999999</v>
      </c>
      <c r="F103" s="24">
        <v>12.08</v>
      </c>
      <c r="G103" s="22">
        <v>1.0014019999999999</v>
      </c>
      <c r="H103" s="22">
        <v>0.85399999999999998</v>
      </c>
      <c r="I103" s="22">
        <v>10.81</v>
      </c>
      <c r="J103" s="22">
        <v>21.700001</v>
      </c>
      <c r="K103" s="22">
        <f t="shared" si="12"/>
        <v>21.669620192490132</v>
      </c>
      <c r="L103">
        <f t="shared" si="13"/>
        <v>462.96252341920376</v>
      </c>
      <c r="M103" s="21"/>
      <c r="N103" s="23">
        <f t="shared" si="14"/>
        <v>0.9653810167377066</v>
      </c>
      <c r="O103" s="23">
        <f t="shared" si="15"/>
        <v>0.98145665506361512</v>
      </c>
      <c r="P103" s="23">
        <f t="shared" si="16"/>
        <v>1.0540700451523923</v>
      </c>
      <c r="Q103" s="23">
        <f t="shared" si="17"/>
        <v>0.97604730263848316</v>
      </c>
      <c r="R103" s="23">
        <f t="shared" si="18"/>
        <v>1.0018245148449165</v>
      </c>
      <c r="S103" s="23">
        <f t="shared" si="19"/>
        <v>0.87388843977364616</v>
      </c>
      <c r="T103" s="23">
        <f t="shared" si="20"/>
        <v>0.91214796502110251</v>
      </c>
      <c r="U103" s="23">
        <f t="shared" si="21"/>
        <v>0.99147844640378713</v>
      </c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H103" s="21"/>
    </row>
    <row r="104" spans="2:34">
      <c r="B104" s="24">
        <v>9.0990000000000002</v>
      </c>
      <c r="C104" s="24">
        <v>387.959991</v>
      </c>
      <c r="D104" s="24">
        <v>44.119999</v>
      </c>
      <c r="E104" s="24">
        <v>17.323999000000001</v>
      </c>
      <c r="F104" s="24">
        <v>11.808</v>
      </c>
      <c r="G104" s="22">
        <v>1.0025059999999999</v>
      </c>
      <c r="H104" s="22">
        <v>0.85973999999999995</v>
      </c>
      <c r="I104" s="22">
        <v>10.84</v>
      </c>
      <c r="J104" s="22">
        <v>21.709999</v>
      </c>
      <c r="K104" s="22">
        <f t="shared" si="12"/>
        <v>21.655729741268384</v>
      </c>
      <c r="L104">
        <f t="shared" si="13"/>
        <v>451.25269383767187</v>
      </c>
      <c r="M104" s="21"/>
      <c r="N104" s="23">
        <f t="shared" si="14"/>
        <v>0.94594032643725967</v>
      </c>
      <c r="O104" s="23">
        <f t="shared" si="15"/>
        <v>0.96306224518977523</v>
      </c>
      <c r="P104" s="23">
        <f t="shared" si="16"/>
        <v>1.0440132770474815</v>
      </c>
      <c r="Q104" s="23">
        <f t="shared" si="17"/>
        <v>0.9473914441316551</v>
      </c>
      <c r="R104" s="23">
        <f t="shared" si="18"/>
        <v>0.97926687676231572</v>
      </c>
      <c r="S104" s="23">
        <f t="shared" si="19"/>
        <v>0.87631366208569139</v>
      </c>
      <c r="T104" s="23">
        <f t="shared" si="20"/>
        <v>0.91256822561714035</v>
      </c>
      <c r="U104" s="23">
        <f t="shared" si="21"/>
        <v>0.99084289843963969</v>
      </c>
      <c r="V104" s="21"/>
      <c r="W104" s="21"/>
      <c r="X104" s="21"/>
      <c r="Y104" s="21"/>
      <c r="AA104" s="21"/>
      <c r="AB104" s="21"/>
      <c r="AC104" s="21"/>
      <c r="AD104" s="21"/>
      <c r="AE104" s="21"/>
      <c r="AF104" s="21"/>
      <c r="AH104" s="21"/>
    </row>
    <row r="105" spans="2:34">
      <c r="B105" s="24">
        <v>9.0139999999999993</v>
      </c>
      <c r="C105" s="24">
        <v>386.790009</v>
      </c>
      <c r="D105" s="24">
        <v>43.41</v>
      </c>
      <c r="E105" s="24">
        <v>17.073999000000001</v>
      </c>
      <c r="F105" s="24">
        <v>11.692</v>
      </c>
      <c r="G105" s="22">
        <v>1.003905</v>
      </c>
      <c r="H105" s="22">
        <v>0.86548999999999998</v>
      </c>
      <c r="I105" s="22">
        <v>10.93</v>
      </c>
      <c r="J105" s="22">
        <v>21.809999000000001</v>
      </c>
      <c r="K105" s="22">
        <f t="shared" si="12"/>
        <v>21.725162241447148</v>
      </c>
      <c r="L105">
        <f t="shared" si="13"/>
        <v>446.90292088874509</v>
      </c>
      <c r="M105" s="21"/>
      <c r="N105" s="23">
        <f t="shared" si="14"/>
        <v>0.9371036490279655</v>
      </c>
      <c r="O105" s="23">
        <f t="shared" si="15"/>
        <v>0.9601579109339482</v>
      </c>
      <c r="P105" s="23">
        <f t="shared" si="16"/>
        <v>1.0272125426981802</v>
      </c>
      <c r="Q105" s="23">
        <f t="shared" si="17"/>
        <v>0.93371978200370687</v>
      </c>
      <c r="R105" s="23">
        <f t="shared" si="18"/>
        <v>0.96964670758003013</v>
      </c>
      <c r="S105" s="23">
        <f t="shared" si="19"/>
        <v>0.88358932902182719</v>
      </c>
      <c r="T105" s="23">
        <f t="shared" si="20"/>
        <v>0.91677167226684841</v>
      </c>
      <c r="U105" s="23">
        <f t="shared" si="21"/>
        <v>0.99401973434149959</v>
      </c>
      <c r="V105" s="21"/>
      <c r="X105" s="21"/>
      <c r="Y105" s="21"/>
      <c r="Z105" s="21"/>
      <c r="AA105" s="21"/>
      <c r="AB105" s="21"/>
      <c r="AC105" s="21"/>
      <c r="AD105" s="21"/>
      <c r="AE105" s="21"/>
      <c r="AF105" s="21"/>
      <c r="AH105" s="21"/>
    </row>
    <row r="106" spans="2:34">
      <c r="B106" s="24">
        <v>8.9320000000000004</v>
      </c>
      <c r="C106" s="24">
        <v>387.26998900000001</v>
      </c>
      <c r="D106" s="24">
        <v>43.075001</v>
      </c>
      <c r="E106" s="24">
        <v>16.972000000000001</v>
      </c>
      <c r="F106" s="24">
        <v>11.58</v>
      </c>
      <c r="G106" s="22">
        <v>0.99523300000000003</v>
      </c>
      <c r="H106" s="22">
        <v>0.86163000000000001</v>
      </c>
      <c r="I106" s="22">
        <v>10.74</v>
      </c>
      <c r="J106" s="22">
        <v>21.889999</v>
      </c>
      <c r="K106" s="22">
        <f t="shared" si="12"/>
        <v>21.99484844252552</v>
      </c>
      <c r="L106">
        <f t="shared" si="13"/>
        <v>449.46205331754931</v>
      </c>
      <c r="M106" s="21"/>
      <c r="N106" s="23">
        <f t="shared" si="14"/>
        <v>0.92857885435076426</v>
      </c>
      <c r="O106" s="23">
        <f t="shared" si="15"/>
        <v>0.96134940136381108</v>
      </c>
      <c r="P106" s="23">
        <f t="shared" si="16"/>
        <v>1.0192854481441294</v>
      </c>
      <c r="Q106" s="23">
        <f t="shared" si="17"/>
        <v>0.92814179854215251</v>
      </c>
      <c r="R106" s="23">
        <f t="shared" si="18"/>
        <v>0.96035826836954741</v>
      </c>
      <c r="S106" s="23">
        <f t="shared" si="19"/>
        <v>0.86822958771220715</v>
      </c>
      <c r="T106" s="23">
        <f t="shared" si="20"/>
        <v>0.92013442958661473</v>
      </c>
      <c r="U106" s="23">
        <f t="shared" si="21"/>
        <v>1.0063590394740551</v>
      </c>
      <c r="V106" s="21"/>
      <c r="W106" s="21"/>
      <c r="X106" s="21"/>
      <c r="Y106" s="21"/>
      <c r="Z106" s="21"/>
      <c r="AA106" s="21"/>
      <c r="AC106" s="21"/>
      <c r="AD106" s="21"/>
      <c r="AE106" s="21"/>
      <c r="AH106" s="21"/>
    </row>
    <row r="107" spans="2:34">
      <c r="B107" s="24">
        <v>8.8469999999999995</v>
      </c>
      <c r="C107" s="24">
        <v>392.72000100000002</v>
      </c>
      <c r="D107" s="24">
        <v>43.080002</v>
      </c>
      <c r="E107" s="24">
        <v>16.716000000000001</v>
      </c>
      <c r="F107" s="24">
        <v>11.55</v>
      </c>
      <c r="G107" s="22">
        <v>0.99094300000000002</v>
      </c>
      <c r="H107" s="22">
        <v>0.86353999999999997</v>
      </c>
      <c r="I107" s="22">
        <v>10.67</v>
      </c>
      <c r="J107" s="22">
        <v>21.440000999999999</v>
      </c>
      <c r="K107" s="22">
        <f t="shared" si="12"/>
        <v>21.635957870432506</v>
      </c>
      <c r="L107">
        <f t="shared" si="13"/>
        <v>454.77916599115275</v>
      </c>
      <c r="M107" s="21"/>
      <c r="N107" s="23">
        <f t="shared" si="14"/>
        <v>0.91974217694147009</v>
      </c>
      <c r="O107" s="23">
        <f t="shared" si="15"/>
        <v>0.97487837578074066</v>
      </c>
      <c r="P107" s="23">
        <f t="shared" si="16"/>
        <v>1.0194037870044388</v>
      </c>
      <c r="Q107" s="23">
        <f t="shared" si="17"/>
        <v>0.91414201652313343</v>
      </c>
      <c r="R107" s="23">
        <f t="shared" si="18"/>
        <v>0.95787029358102527</v>
      </c>
      <c r="S107" s="23">
        <f t="shared" si="19"/>
        <v>0.86257073565076814</v>
      </c>
      <c r="T107" s="23">
        <f t="shared" si="20"/>
        <v>0.9012190037318617</v>
      </c>
      <c r="U107" s="23">
        <f t="shared" si="21"/>
        <v>0.9899382501991667</v>
      </c>
      <c r="V107" s="21"/>
      <c r="X107" s="21"/>
      <c r="Y107" s="21"/>
      <c r="Z107" s="21"/>
      <c r="AA107" s="21"/>
      <c r="AB107" s="21"/>
      <c r="AC107" s="21"/>
      <c r="AD107" s="21"/>
      <c r="AE107" s="21"/>
      <c r="AH107" s="21"/>
    </row>
    <row r="108" spans="2:34">
      <c r="B108" s="24">
        <v>8.9779999999999998</v>
      </c>
      <c r="C108" s="24">
        <v>378.52999899999998</v>
      </c>
      <c r="D108" s="24">
        <v>43.544998</v>
      </c>
      <c r="E108" s="24">
        <v>17.042000000000002</v>
      </c>
      <c r="F108" s="24">
        <v>11.692</v>
      </c>
      <c r="G108" s="22">
        <v>0.99522299999999997</v>
      </c>
      <c r="H108" s="22">
        <v>0.86029999999999995</v>
      </c>
      <c r="I108" s="22">
        <v>10.59</v>
      </c>
      <c r="J108" s="22">
        <v>21.4</v>
      </c>
      <c r="K108" s="22">
        <f t="shared" si="12"/>
        <v>21.502718486208618</v>
      </c>
      <c r="L108">
        <f t="shared" si="13"/>
        <v>439.99767406718587</v>
      </c>
      <c r="M108" s="21"/>
      <c r="N108" s="23">
        <f t="shared" si="14"/>
        <v>0.93336105624285282</v>
      </c>
      <c r="O108" s="23">
        <f t="shared" si="15"/>
        <v>0.93965346727885479</v>
      </c>
      <c r="P108" s="23">
        <f t="shared" si="16"/>
        <v>1.0304070056983914</v>
      </c>
      <c r="Q108" s="23">
        <f t="shared" si="17"/>
        <v>0.93196986393797798</v>
      </c>
      <c r="R108" s="23">
        <f t="shared" si="18"/>
        <v>0.96964670758003002</v>
      </c>
      <c r="S108" s="23">
        <f t="shared" si="19"/>
        <v>0.85610347615198079</v>
      </c>
      <c r="T108" s="23">
        <f t="shared" si="20"/>
        <v>0.89953758303751197</v>
      </c>
      <c r="U108" s="23">
        <f t="shared" si="21"/>
        <v>0.98384197456089406</v>
      </c>
      <c r="V108" s="21"/>
      <c r="W108" s="21"/>
      <c r="X108" s="21"/>
      <c r="Y108" s="21"/>
      <c r="AA108" s="21"/>
      <c r="AB108" s="21"/>
      <c r="AC108" s="21"/>
      <c r="AD108" s="21"/>
      <c r="AE108" s="21"/>
      <c r="AH108" s="21"/>
    </row>
    <row r="109" spans="2:34">
      <c r="B109" s="24">
        <v>8.9139999999999997</v>
      </c>
      <c r="C109" s="24">
        <v>376.35998499999999</v>
      </c>
      <c r="D109" s="24">
        <v>43.445</v>
      </c>
      <c r="E109" s="24">
        <v>16.827998999999998</v>
      </c>
      <c r="F109" s="24">
        <v>11.59</v>
      </c>
      <c r="G109" s="22">
        <v>0.98979499999999998</v>
      </c>
      <c r="H109" s="22">
        <v>0.85975000000000001</v>
      </c>
      <c r="I109" s="22">
        <v>10.54</v>
      </c>
      <c r="J109" s="22">
        <v>21.299999</v>
      </c>
      <c r="K109" s="22">
        <f t="shared" si="12"/>
        <v>21.519606585201988</v>
      </c>
      <c r="L109">
        <f t="shared" si="13"/>
        <v>437.75514393719101</v>
      </c>
      <c r="M109" s="21"/>
      <c r="N109" s="23">
        <f t="shared" si="14"/>
        <v>0.92670755795820781</v>
      </c>
      <c r="O109" s="23">
        <f t="shared" si="15"/>
        <v>0.93426667842584332</v>
      </c>
      <c r="P109" s="23">
        <f t="shared" si="16"/>
        <v>1.0280407490790702</v>
      </c>
      <c r="Q109" s="23">
        <f t="shared" si="17"/>
        <v>0.9202668664698056</v>
      </c>
      <c r="R109" s="23">
        <f t="shared" si="18"/>
        <v>0.96118759329905468</v>
      </c>
      <c r="S109" s="23">
        <f t="shared" si="19"/>
        <v>0.85206143896523856</v>
      </c>
      <c r="T109" s="23">
        <f t="shared" si="20"/>
        <v>0.89533409435333755</v>
      </c>
      <c r="U109" s="23">
        <f t="shared" si="21"/>
        <v>0.98461467782029233</v>
      </c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H109" s="21"/>
    </row>
    <row r="110" spans="2:34">
      <c r="B110" s="24">
        <v>8.9</v>
      </c>
      <c r="C110" s="24">
        <v>374.10998499999999</v>
      </c>
      <c r="D110" s="24">
        <v>43.244999</v>
      </c>
      <c r="E110" s="24">
        <v>16.841999000000001</v>
      </c>
      <c r="F110" s="24">
        <v>11.608000000000001</v>
      </c>
      <c r="G110" s="22">
        <v>0.99956999999999996</v>
      </c>
      <c r="H110" s="22">
        <v>0.86758999999999997</v>
      </c>
      <c r="I110" s="22">
        <v>10.5</v>
      </c>
      <c r="J110" s="22">
        <v>21</v>
      </c>
      <c r="K110" s="22">
        <f t="shared" si="12"/>
        <v>21.009033884570368</v>
      </c>
      <c r="L110">
        <f t="shared" si="13"/>
        <v>431.20596710427736</v>
      </c>
      <c r="M110" s="21"/>
      <c r="N110" s="23">
        <f t="shared" si="14"/>
        <v>0.92525210520844181</v>
      </c>
      <c r="O110" s="23">
        <f t="shared" si="15"/>
        <v>0.92868133431318967</v>
      </c>
      <c r="P110" s="23">
        <f t="shared" si="16"/>
        <v>1.0233081175252305</v>
      </c>
      <c r="Q110" s="23">
        <f t="shared" si="17"/>
        <v>0.92103247954897083</v>
      </c>
      <c r="R110" s="23">
        <f t="shared" si="18"/>
        <v>0.96268037817216801</v>
      </c>
      <c r="S110" s="23">
        <f t="shared" si="19"/>
        <v>0.84882780921584489</v>
      </c>
      <c r="T110" s="23">
        <f t="shared" si="20"/>
        <v>0.88272379643868004</v>
      </c>
      <c r="U110" s="23">
        <f t="shared" si="21"/>
        <v>0.96125377792903066</v>
      </c>
      <c r="V110" s="21"/>
      <c r="W110" s="21"/>
      <c r="X110" s="21"/>
      <c r="Y110" s="21"/>
      <c r="Z110" s="21"/>
      <c r="AA110" s="21"/>
      <c r="AB110" s="21"/>
      <c r="AC110" s="21"/>
      <c r="AD110" s="21"/>
      <c r="AH110" s="21"/>
    </row>
    <row r="111" spans="2:34">
      <c r="B111" s="24">
        <v>8.9060000000000006</v>
      </c>
      <c r="C111" s="24">
        <v>372.92999300000002</v>
      </c>
      <c r="D111" s="24">
        <v>43.115001999999997</v>
      </c>
      <c r="E111" s="24">
        <v>16.722000000000001</v>
      </c>
      <c r="F111" s="24">
        <v>11.638</v>
      </c>
      <c r="G111" s="22">
        <v>1.0012019999999999</v>
      </c>
      <c r="H111" s="22">
        <v>0.86890000000000001</v>
      </c>
      <c r="I111" s="22">
        <v>10.48</v>
      </c>
      <c r="J111" s="22">
        <v>21.120000999999998</v>
      </c>
      <c r="K111" s="22">
        <f t="shared" si="12"/>
        <v>21.094645236425816</v>
      </c>
      <c r="L111">
        <f t="shared" si="13"/>
        <v>429.19782828864084</v>
      </c>
      <c r="M111" s="21"/>
      <c r="N111" s="23">
        <f t="shared" si="14"/>
        <v>0.92587587067262733</v>
      </c>
      <c r="O111" s="23">
        <f t="shared" si="15"/>
        <v>0.92575215148199941</v>
      </c>
      <c r="P111" s="23">
        <f t="shared" si="16"/>
        <v>1.0202319933853288</v>
      </c>
      <c r="Q111" s="23">
        <f t="shared" si="17"/>
        <v>0.91447013641420416</v>
      </c>
      <c r="R111" s="23">
        <f t="shared" si="18"/>
        <v>0.96516835296069015</v>
      </c>
      <c r="S111" s="23">
        <f t="shared" si="19"/>
        <v>0.8472109943411481</v>
      </c>
      <c r="T111" s="23">
        <f t="shared" si="20"/>
        <v>0.88776797445279609</v>
      </c>
      <c r="U111" s="23">
        <f t="shared" si="21"/>
        <v>0.96517086597109913</v>
      </c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H111" s="21"/>
    </row>
    <row r="112" spans="2:34">
      <c r="B112" s="24">
        <v>9.0380000000000003</v>
      </c>
      <c r="C112" s="24">
        <v>371.459991</v>
      </c>
      <c r="D112" s="24">
        <v>43.529998999999997</v>
      </c>
      <c r="E112" s="24">
        <v>17.002001</v>
      </c>
      <c r="F112" s="24">
        <v>11.836</v>
      </c>
      <c r="G112" s="22">
        <v>1.0071410000000001</v>
      </c>
      <c r="H112" s="22">
        <v>0.86670999999999998</v>
      </c>
      <c r="I112" s="22">
        <v>10.45</v>
      </c>
      <c r="J112" s="22">
        <v>20.98</v>
      </c>
      <c r="K112" s="22">
        <f t="shared" si="12"/>
        <v>20.831244085982</v>
      </c>
      <c r="L112">
        <f t="shared" si="13"/>
        <v>428.58625261044642</v>
      </c>
      <c r="M112" s="21"/>
      <c r="N112" s="23">
        <f t="shared" si="14"/>
        <v>0.93959871088470759</v>
      </c>
      <c r="O112" s="23">
        <f t="shared" si="15"/>
        <v>0.92210305503031531</v>
      </c>
      <c r="P112" s="23">
        <f t="shared" si="16"/>
        <v>1.0300520837696208</v>
      </c>
      <c r="Q112" s="23">
        <f t="shared" si="17"/>
        <v>0.92978245268415471</v>
      </c>
      <c r="R112" s="23">
        <f t="shared" si="18"/>
        <v>0.98158898656493632</v>
      </c>
      <c r="S112" s="23">
        <f t="shared" si="19"/>
        <v>0.84478577202910277</v>
      </c>
      <c r="T112" s="23">
        <f t="shared" si="20"/>
        <v>0.88188310710873852</v>
      </c>
      <c r="U112" s="23">
        <f t="shared" si="21"/>
        <v>0.95311912897233475</v>
      </c>
      <c r="V112" s="21"/>
      <c r="W112" s="21"/>
      <c r="X112" s="21"/>
      <c r="Y112" s="21"/>
      <c r="Z112" s="21"/>
      <c r="AB112" s="21"/>
      <c r="AC112" s="21"/>
      <c r="AD112" s="21"/>
      <c r="AE112" s="21"/>
      <c r="AF112" s="21"/>
      <c r="AH112" s="21"/>
    </row>
    <row r="113" spans="2:34">
      <c r="B113" s="24">
        <v>9.1289999999999996</v>
      </c>
      <c r="C113" s="24">
        <v>369.77999899999998</v>
      </c>
      <c r="D113" s="24">
        <v>43.529998999999997</v>
      </c>
      <c r="E113" s="24">
        <v>17.103999999999999</v>
      </c>
      <c r="F113" s="24">
        <v>11.898</v>
      </c>
      <c r="G113" s="22">
        <v>1.012956</v>
      </c>
      <c r="H113" s="22">
        <v>0.86626000000000003</v>
      </c>
      <c r="I113" s="22">
        <v>10.57</v>
      </c>
      <c r="J113" s="22">
        <v>21</v>
      </c>
      <c r="K113" s="22">
        <f t="shared" si="12"/>
        <v>20.731403930674187</v>
      </c>
      <c r="L113">
        <f t="shared" si="13"/>
        <v>426.86952993327634</v>
      </c>
      <c r="M113" s="21"/>
      <c r="N113" s="23">
        <f t="shared" si="14"/>
        <v>0.94905915375818706</v>
      </c>
      <c r="O113" s="23">
        <f t="shared" si="15"/>
        <v>0.91793268461853517</v>
      </c>
      <c r="P113" s="23">
        <f t="shared" si="16"/>
        <v>1.0300520837696208</v>
      </c>
      <c r="Q113" s="23">
        <f t="shared" si="17"/>
        <v>0.93536043614570907</v>
      </c>
      <c r="R113" s="23">
        <f t="shared" si="18"/>
        <v>0.98673080112788203</v>
      </c>
      <c r="S113" s="23">
        <f t="shared" si="19"/>
        <v>0.8544866612772839</v>
      </c>
      <c r="T113" s="23">
        <f t="shared" si="20"/>
        <v>0.88272379643868015</v>
      </c>
      <c r="U113" s="23">
        <f t="shared" si="21"/>
        <v>0.94855101189441704</v>
      </c>
      <c r="V113" s="21"/>
      <c r="W113" s="21"/>
      <c r="X113" s="21"/>
      <c r="Y113" s="21"/>
      <c r="Z113" s="21"/>
      <c r="AA113" s="21"/>
      <c r="AB113" s="21"/>
      <c r="AC113" s="21"/>
      <c r="AD113" s="21"/>
      <c r="AF113" s="21"/>
      <c r="AH113" s="21"/>
    </row>
    <row r="114" spans="2:34">
      <c r="B114" s="24">
        <v>9.1590000000000007</v>
      </c>
      <c r="C114" s="24">
        <v>370.63000499999998</v>
      </c>
      <c r="D114" s="24">
        <v>43.98</v>
      </c>
      <c r="E114" s="24">
        <v>17.205998999999998</v>
      </c>
      <c r="F114" s="24">
        <v>11.898</v>
      </c>
      <c r="G114" s="22">
        <v>0.99820299999999995</v>
      </c>
      <c r="H114" s="22">
        <v>0.86709000000000003</v>
      </c>
      <c r="I114" s="22">
        <v>10.65</v>
      </c>
      <c r="J114" s="22">
        <v>21.209999</v>
      </c>
      <c r="K114" s="22">
        <f t="shared" si="12"/>
        <v>21.248181983023493</v>
      </c>
      <c r="L114">
        <f t="shared" si="13"/>
        <v>427.44121717468772</v>
      </c>
      <c r="M114" s="21"/>
      <c r="N114" s="23">
        <f t="shared" si="14"/>
        <v>0.95217798107911455</v>
      </c>
      <c r="O114" s="23">
        <f t="shared" si="15"/>
        <v>0.92004271839978857</v>
      </c>
      <c r="P114" s="23">
        <f t="shared" si="16"/>
        <v>1.0407004751869606</v>
      </c>
      <c r="Q114" s="23">
        <f t="shared" si="17"/>
        <v>0.94093841960726343</v>
      </c>
      <c r="R114" s="23">
        <f t="shared" si="18"/>
        <v>0.98673080112788203</v>
      </c>
      <c r="S114" s="23">
        <f t="shared" si="19"/>
        <v>0.86095392077607125</v>
      </c>
      <c r="T114" s="23">
        <f t="shared" si="20"/>
        <v>0.89155099236860047</v>
      </c>
      <c r="U114" s="23">
        <f t="shared" si="21"/>
        <v>0.97219583335079096</v>
      </c>
      <c r="V114" s="21"/>
      <c r="W114" s="21"/>
      <c r="X114" s="21"/>
      <c r="Y114" s="21"/>
      <c r="Z114" s="21"/>
      <c r="AA114" s="21"/>
      <c r="AC114" s="21"/>
      <c r="AD114" s="21"/>
      <c r="AE114" s="21"/>
      <c r="AH114" s="21"/>
    </row>
    <row r="115" spans="2:34">
      <c r="B115" s="24">
        <v>9.1590000000000007</v>
      </c>
      <c r="C115" s="24">
        <v>374.20001200000002</v>
      </c>
      <c r="D115" s="24">
        <v>43.98</v>
      </c>
      <c r="E115" s="24">
        <v>16.774000000000001</v>
      </c>
      <c r="F115" s="24">
        <v>11.898</v>
      </c>
      <c r="G115" s="22">
        <v>0.99840300000000004</v>
      </c>
      <c r="H115" s="22">
        <v>0.86458999999999997</v>
      </c>
      <c r="I115" s="22">
        <v>10.78</v>
      </c>
      <c r="J115" s="22">
        <v>21.48</v>
      </c>
      <c r="K115" s="22">
        <f t="shared" si="12"/>
        <v>21.51435843041337</v>
      </c>
      <c r="L115">
        <f t="shared" si="13"/>
        <v>432.80631513202792</v>
      </c>
      <c r="M115" s="21"/>
      <c r="N115" s="23">
        <f t="shared" si="14"/>
        <v>0.95217798107911455</v>
      </c>
      <c r="O115" s="23">
        <f t="shared" si="15"/>
        <v>0.92890481510182521</v>
      </c>
      <c r="P115" s="23">
        <f t="shared" si="16"/>
        <v>1.0407004751869606</v>
      </c>
      <c r="Q115" s="23">
        <f t="shared" si="17"/>
        <v>0.91731384213681744</v>
      </c>
      <c r="R115" s="23">
        <f t="shared" si="18"/>
        <v>0.98673080112788203</v>
      </c>
      <c r="S115" s="23">
        <f t="shared" si="19"/>
        <v>0.87146321746160071</v>
      </c>
      <c r="T115" s="23">
        <f t="shared" si="20"/>
        <v>0.90290034035727862</v>
      </c>
      <c r="U115" s="23">
        <f t="shared" si="21"/>
        <v>0.98437455213695857</v>
      </c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H115" s="21"/>
    </row>
    <row r="116" spans="2:34">
      <c r="B116" s="24">
        <v>9.1590000000000007</v>
      </c>
      <c r="C116" s="24">
        <v>377.08999599999999</v>
      </c>
      <c r="D116" s="24">
        <v>43.98</v>
      </c>
      <c r="E116" s="24">
        <v>16.649999999999999</v>
      </c>
      <c r="F116" s="24">
        <v>11.898</v>
      </c>
      <c r="G116" s="22">
        <v>0.99883100000000002</v>
      </c>
      <c r="H116" s="22">
        <v>0.87212999999999996</v>
      </c>
      <c r="I116" s="22">
        <v>10.85</v>
      </c>
      <c r="J116" s="22">
        <v>21.709999</v>
      </c>
      <c r="K116" s="22">
        <f t="shared" si="12"/>
        <v>21.735407691591469</v>
      </c>
      <c r="L116">
        <f t="shared" si="13"/>
        <v>432.37819591116005</v>
      </c>
      <c r="M116" s="21"/>
      <c r="N116" s="23">
        <f t="shared" si="14"/>
        <v>0.95217798107911455</v>
      </c>
      <c r="O116" s="23">
        <f t="shared" si="15"/>
        <v>0.93607883959963101</v>
      </c>
      <c r="P116" s="23">
        <f t="shared" si="16"/>
        <v>1.0407004751869606</v>
      </c>
      <c r="Q116" s="23">
        <f t="shared" si="17"/>
        <v>0.91053269772135492</v>
      </c>
      <c r="R116" s="23">
        <f t="shared" si="18"/>
        <v>0.98673080112788203</v>
      </c>
      <c r="S116" s="23">
        <f t="shared" si="19"/>
        <v>0.87712206952303973</v>
      </c>
      <c r="T116" s="23">
        <f t="shared" si="20"/>
        <v>0.91256822561714046</v>
      </c>
      <c r="U116" s="23">
        <f t="shared" si="21"/>
        <v>0.99448850780875764</v>
      </c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H116" s="21"/>
    </row>
    <row r="117" spans="2:34">
      <c r="B117" s="24">
        <v>9.1590000000000007</v>
      </c>
      <c r="C117" s="24">
        <v>382.23998999999998</v>
      </c>
      <c r="D117" s="24">
        <v>43.98</v>
      </c>
      <c r="E117" s="24">
        <v>16.304001</v>
      </c>
      <c r="F117" s="24">
        <v>11.898</v>
      </c>
      <c r="G117" s="22">
        <v>1.002235</v>
      </c>
      <c r="H117" s="22">
        <v>0.87656000000000001</v>
      </c>
      <c r="I117" s="22">
        <v>10.57</v>
      </c>
      <c r="J117" s="22">
        <v>21.41</v>
      </c>
      <c r="K117" s="22">
        <f t="shared" si="12"/>
        <v>21.362255359272027</v>
      </c>
      <c r="L117">
        <f t="shared" si="13"/>
        <v>436.06825545313495</v>
      </c>
      <c r="M117" s="21"/>
      <c r="N117" s="23">
        <f t="shared" si="14"/>
        <v>0.95217798107911455</v>
      </c>
      <c r="O117" s="23">
        <f t="shared" si="15"/>
        <v>0.9488630567854538</v>
      </c>
      <c r="P117" s="23">
        <f t="shared" si="16"/>
        <v>1.0407004751869606</v>
      </c>
      <c r="Q117" s="23">
        <f t="shared" si="17"/>
        <v>0.89161117202292306</v>
      </c>
      <c r="R117" s="23">
        <f t="shared" si="18"/>
        <v>0.98673080112788203</v>
      </c>
      <c r="S117" s="23">
        <f t="shared" si="19"/>
        <v>0.8544866612772839</v>
      </c>
      <c r="T117" s="23">
        <f t="shared" si="20"/>
        <v>0.89995792770248295</v>
      </c>
      <c r="U117" s="23">
        <f t="shared" si="21"/>
        <v>0.97741518158367457</v>
      </c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H117" s="21"/>
    </row>
    <row r="118" spans="2:34">
      <c r="B118" s="24">
        <v>9.1590000000000007</v>
      </c>
      <c r="C118" s="24">
        <v>385.25</v>
      </c>
      <c r="D118" s="24">
        <v>43.98</v>
      </c>
      <c r="E118" s="24">
        <v>15.968</v>
      </c>
      <c r="F118" s="24">
        <v>11.898</v>
      </c>
      <c r="G118" s="22">
        <v>1.0029589999999999</v>
      </c>
      <c r="H118" s="22">
        <v>0.87634999999999996</v>
      </c>
      <c r="I118" s="22">
        <v>10.58</v>
      </c>
      <c r="J118" s="22">
        <v>21.190000999999999</v>
      </c>
      <c r="K118" s="22">
        <f t="shared" si="12"/>
        <v>21.127484772558002</v>
      </c>
      <c r="L118">
        <f t="shared" si="13"/>
        <v>439.60746277172365</v>
      </c>
      <c r="M118" s="21"/>
      <c r="N118" s="23">
        <f t="shared" si="14"/>
        <v>0.95217798107911455</v>
      </c>
      <c r="O118" s="23">
        <f t="shared" si="15"/>
        <v>0.95633503084435534</v>
      </c>
      <c r="P118" s="23">
        <f t="shared" si="16"/>
        <v>1.0407004751869606</v>
      </c>
      <c r="Q118" s="23">
        <f t="shared" si="17"/>
        <v>0.87323640343631204</v>
      </c>
      <c r="R118" s="23">
        <f t="shared" si="18"/>
        <v>0.98673080112788203</v>
      </c>
      <c r="S118" s="23">
        <f t="shared" si="19"/>
        <v>0.85529506871463234</v>
      </c>
      <c r="T118" s="23">
        <f t="shared" si="20"/>
        <v>0.89071038710759176</v>
      </c>
      <c r="U118" s="23">
        <f t="shared" si="21"/>
        <v>0.96667341617621272</v>
      </c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H118" s="21"/>
    </row>
    <row r="119" spans="2:34">
      <c r="B119" s="24">
        <v>9.1590000000000007</v>
      </c>
      <c r="C119" s="24">
        <v>371.709991</v>
      </c>
      <c r="D119" s="24">
        <v>43.98</v>
      </c>
      <c r="E119" s="24">
        <v>16.094000000000001</v>
      </c>
      <c r="F119" s="24">
        <v>11.898</v>
      </c>
      <c r="G119" s="22">
        <v>0.99707900000000005</v>
      </c>
      <c r="H119" s="22">
        <v>0.87600999999999996</v>
      </c>
      <c r="I119" s="22">
        <v>10.52</v>
      </c>
      <c r="J119" s="22">
        <v>21.24</v>
      </c>
      <c r="K119" s="22">
        <f t="shared" si="12"/>
        <v>21.30222379570726</v>
      </c>
      <c r="L119">
        <f t="shared" si="13"/>
        <v>424.32162989006974</v>
      </c>
      <c r="M119" s="21"/>
      <c r="N119" s="23">
        <f t="shared" si="14"/>
        <v>0.95217798107911455</v>
      </c>
      <c r="O119" s="23">
        <f t="shared" si="15"/>
        <v>0.92272364882061009</v>
      </c>
      <c r="P119" s="23">
        <f t="shared" si="16"/>
        <v>1.0407004751869606</v>
      </c>
      <c r="Q119" s="23">
        <f t="shared" si="17"/>
        <v>0.88012692114879798</v>
      </c>
      <c r="R119" s="23">
        <f t="shared" si="18"/>
        <v>0.98673080112788203</v>
      </c>
      <c r="S119" s="23">
        <f t="shared" si="19"/>
        <v>0.85044462409054178</v>
      </c>
      <c r="T119" s="23">
        <f t="shared" si="20"/>
        <v>0.89281206839797922</v>
      </c>
      <c r="U119" s="23">
        <f t="shared" si="21"/>
        <v>0.97466847901807019</v>
      </c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H119" s="21"/>
    </row>
    <row r="120" spans="2:34">
      <c r="B120" s="24">
        <v>9.1590000000000007</v>
      </c>
      <c r="C120" s="24">
        <v>374.5</v>
      </c>
      <c r="D120" s="24">
        <v>43.98</v>
      </c>
      <c r="E120" s="24">
        <v>16.231999999999999</v>
      </c>
      <c r="F120" s="24">
        <v>11.898</v>
      </c>
      <c r="G120" s="22">
        <v>0.98307199999999995</v>
      </c>
      <c r="H120" s="22">
        <v>0.87327999999999995</v>
      </c>
      <c r="I120" s="22">
        <v>10.42</v>
      </c>
      <c r="J120" s="22">
        <v>20.83</v>
      </c>
      <c r="K120" s="22">
        <f t="shared" si="12"/>
        <v>21.188682009049185</v>
      </c>
      <c r="L120">
        <f t="shared" si="13"/>
        <v>428.84298277757421</v>
      </c>
      <c r="M120" s="21"/>
      <c r="N120" s="23">
        <f t="shared" si="14"/>
        <v>0.95217798107911455</v>
      </c>
      <c r="O120" s="23">
        <f t="shared" si="15"/>
        <v>0.92964949786167694</v>
      </c>
      <c r="P120" s="23">
        <f t="shared" si="16"/>
        <v>1.0407004751869606</v>
      </c>
      <c r="Q120" s="23">
        <f t="shared" si="17"/>
        <v>0.88767367864342528</v>
      </c>
      <c r="R120" s="23">
        <f t="shared" si="18"/>
        <v>0.98673080112788203</v>
      </c>
      <c r="S120" s="23">
        <f t="shared" si="19"/>
        <v>0.84236054971705754</v>
      </c>
      <c r="T120" s="23">
        <f t="shared" si="20"/>
        <v>0.87557793713417642</v>
      </c>
      <c r="U120" s="23">
        <f t="shared" si="21"/>
        <v>0.96947345329829904</v>
      </c>
      <c r="V120" s="21"/>
      <c r="W120" s="21"/>
      <c r="X120" s="21"/>
      <c r="Y120" s="21"/>
      <c r="Z120" s="21"/>
      <c r="AA120" s="21"/>
      <c r="AC120" s="21"/>
      <c r="AD120" s="21"/>
      <c r="AE120" s="21"/>
      <c r="AH120" s="21"/>
    </row>
    <row r="121" spans="2:34">
      <c r="B121" s="24">
        <v>8.8040000000000003</v>
      </c>
      <c r="C121" s="24">
        <v>371.57998700000002</v>
      </c>
      <c r="D121" s="24">
        <v>42.955002</v>
      </c>
      <c r="E121" s="24">
        <v>16.489999999999998</v>
      </c>
      <c r="F121" s="24">
        <v>11.456</v>
      </c>
      <c r="G121" s="22">
        <v>0.984155</v>
      </c>
      <c r="H121" s="22">
        <v>0.87339999999999995</v>
      </c>
      <c r="I121" s="22">
        <v>10.45</v>
      </c>
      <c r="J121" s="22">
        <v>20.860001</v>
      </c>
      <c r="K121" s="22">
        <f t="shared" si="12"/>
        <v>21.195849231066244</v>
      </c>
      <c r="L121">
        <f t="shared" si="13"/>
        <v>425.4407911609801</v>
      </c>
      <c r="M121" s="21"/>
      <c r="N121" s="23">
        <f t="shared" si="14"/>
        <v>0.91527185778147446</v>
      </c>
      <c r="O121" s="23">
        <f t="shared" si="15"/>
        <v>0.92240093012015612</v>
      </c>
      <c r="P121" s="23">
        <f t="shared" si="16"/>
        <v>1.0164459070726888</v>
      </c>
      <c r="Q121" s="23">
        <f t="shared" si="17"/>
        <v>0.9017828339594679</v>
      </c>
      <c r="R121" s="23">
        <f t="shared" si="18"/>
        <v>0.95007463924365576</v>
      </c>
      <c r="S121" s="23">
        <f t="shared" si="19"/>
        <v>0.84478577202910277</v>
      </c>
      <c r="T121" s="23">
        <f t="shared" si="20"/>
        <v>0.87683901316355539</v>
      </c>
      <c r="U121" s="23">
        <f t="shared" si="21"/>
        <v>0.96980138457200771</v>
      </c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H121" s="21"/>
    </row>
    <row r="122" spans="2:34">
      <c r="B122" s="24">
        <v>8.5830000000000002</v>
      </c>
      <c r="C122" s="24">
        <v>368.959991</v>
      </c>
      <c r="D122" s="24">
        <v>42.235000999999997</v>
      </c>
      <c r="E122" s="24">
        <v>16.006001000000001</v>
      </c>
      <c r="F122" s="24">
        <v>11.128</v>
      </c>
      <c r="G122" s="22">
        <v>0.96899199999999996</v>
      </c>
      <c r="H122" s="22">
        <v>0.89710000000000001</v>
      </c>
      <c r="I122" s="22">
        <v>10.37</v>
      </c>
      <c r="J122" s="22">
        <v>20.83</v>
      </c>
      <c r="K122" s="22">
        <f t="shared" si="12"/>
        <v>21.496565503120767</v>
      </c>
      <c r="L122">
        <f t="shared" si="13"/>
        <v>411.28078363616095</v>
      </c>
      <c r="M122" s="21"/>
      <c r="N122" s="23">
        <f t="shared" si="14"/>
        <v>0.8922964965173098</v>
      </c>
      <c r="O122" s="23">
        <f t="shared" si="15"/>
        <v>0.91589711712736677</v>
      </c>
      <c r="P122" s="23">
        <f t="shared" si="16"/>
        <v>0.99940849500276863</v>
      </c>
      <c r="Q122" s="23">
        <f t="shared" si="17"/>
        <v>0.87531455076640874</v>
      </c>
      <c r="R122" s="23">
        <f t="shared" si="18"/>
        <v>0.92287278155581376</v>
      </c>
      <c r="S122" s="23">
        <f t="shared" si="19"/>
        <v>0.83831851253031542</v>
      </c>
      <c r="T122" s="23">
        <f t="shared" si="20"/>
        <v>0.87557793713417642</v>
      </c>
      <c r="U122" s="23">
        <f t="shared" si="21"/>
        <v>0.98356044908612805</v>
      </c>
      <c r="V122" s="21"/>
      <c r="W122" s="21"/>
      <c r="X122" s="21"/>
      <c r="Y122" s="21"/>
      <c r="Z122" s="21"/>
      <c r="AA122" s="21"/>
      <c r="AC122" s="21"/>
      <c r="AD122" s="21"/>
      <c r="AE122" s="21"/>
      <c r="AH122" s="21"/>
    </row>
    <row r="123" spans="2:34">
      <c r="B123" s="24">
        <v>8.4979999999999993</v>
      </c>
      <c r="C123" s="24">
        <v>367.35998499999999</v>
      </c>
      <c r="D123" s="24">
        <v>41.560001</v>
      </c>
      <c r="E123" s="24">
        <v>15.996</v>
      </c>
      <c r="F123" s="24">
        <v>11.06</v>
      </c>
      <c r="G123" s="22">
        <v>0.96237099999999998</v>
      </c>
      <c r="H123" s="22">
        <v>0.89320999999999995</v>
      </c>
      <c r="I123" s="22">
        <v>10.29</v>
      </c>
      <c r="J123" s="22">
        <v>20.84</v>
      </c>
      <c r="K123" s="22">
        <f t="shared" si="12"/>
        <v>21.654850364360524</v>
      </c>
      <c r="L123">
        <f t="shared" si="13"/>
        <v>411.28064508906084</v>
      </c>
      <c r="M123" s="21"/>
      <c r="N123" s="23">
        <f t="shared" si="14"/>
        <v>0.88345981910801563</v>
      </c>
      <c r="O123" s="23">
        <f t="shared" si="15"/>
        <v>0.91192530197522881</v>
      </c>
      <c r="P123" s="23">
        <f t="shared" si="16"/>
        <v>0.98343594337131812</v>
      </c>
      <c r="Q123" s="23">
        <f t="shared" si="17"/>
        <v>0.87476762959464227</v>
      </c>
      <c r="R123" s="23">
        <f t="shared" si="18"/>
        <v>0.91723337203516364</v>
      </c>
      <c r="S123" s="23">
        <f t="shared" si="19"/>
        <v>0.83185125303152807</v>
      </c>
      <c r="T123" s="23">
        <f t="shared" si="20"/>
        <v>0.87599828179914729</v>
      </c>
      <c r="U123" s="23">
        <f t="shared" si="21"/>
        <v>0.99080266315897192</v>
      </c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H123" s="21"/>
    </row>
    <row r="124" spans="2:34">
      <c r="B124" s="24">
        <v>8.5269999999999992</v>
      </c>
      <c r="C124" s="24">
        <v>363.459991</v>
      </c>
      <c r="D124" s="24">
        <v>41.560001</v>
      </c>
      <c r="E124" s="24">
        <v>16.167998999999998</v>
      </c>
      <c r="F124" s="24">
        <v>11.084</v>
      </c>
      <c r="G124" s="22">
        <v>0.959619</v>
      </c>
      <c r="H124" s="22">
        <v>0.89448000000000005</v>
      </c>
      <c r="I124" s="22">
        <v>10.11</v>
      </c>
      <c r="J124" s="22">
        <v>20.52</v>
      </c>
      <c r="K124" s="22">
        <f t="shared" si="12"/>
        <v>21.383486571232957</v>
      </c>
      <c r="L124">
        <f t="shared" si="13"/>
        <v>406.33663245684642</v>
      </c>
      <c r="M124" s="21"/>
      <c r="N124" s="23">
        <f t="shared" si="14"/>
        <v>0.88647468551824538</v>
      </c>
      <c r="O124" s="23">
        <f t="shared" si="15"/>
        <v>0.90224405374088024</v>
      </c>
      <c r="P124" s="23">
        <f t="shared" si="16"/>
        <v>0.98343594337131812</v>
      </c>
      <c r="Q124" s="23">
        <f t="shared" si="17"/>
        <v>0.8841736784520221</v>
      </c>
      <c r="R124" s="23">
        <f t="shared" si="18"/>
        <v>0.91922375186598126</v>
      </c>
      <c r="S124" s="23">
        <f t="shared" si="19"/>
        <v>0.81729991915925648</v>
      </c>
      <c r="T124" s="23">
        <f t="shared" si="20"/>
        <v>0.86254725252008169</v>
      </c>
      <c r="U124" s="23">
        <f t="shared" si="21"/>
        <v>0.9783866009654314</v>
      </c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H124" s="21"/>
    </row>
    <row r="125" spans="2:34">
      <c r="B125" s="24">
        <v>8.5210000000000008</v>
      </c>
      <c r="C125" s="24">
        <v>364.70001200000002</v>
      </c>
      <c r="D125" s="24">
        <v>41.84</v>
      </c>
      <c r="E125" s="24">
        <v>16.158000999999999</v>
      </c>
      <c r="F125" s="24">
        <v>11.106</v>
      </c>
      <c r="G125" s="22">
        <v>0.97081700000000004</v>
      </c>
      <c r="H125" s="22">
        <v>0.89585000000000004</v>
      </c>
      <c r="I125" s="22">
        <v>9.9600000000000009</v>
      </c>
      <c r="J125" s="22">
        <v>20.18</v>
      </c>
      <c r="K125" s="22">
        <f t="shared" si="12"/>
        <v>20.786615809158675</v>
      </c>
      <c r="L125">
        <f t="shared" si="13"/>
        <v>407.09941619690795</v>
      </c>
      <c r="M125" s="21"/>
      <c r="N125" s="23">
        <f t="shared" si="14"/>
        <v>0.88585092005406008</v>
      </c>
      <c r="O125" s="23">
        <f t="shared" si="15"/>
        <v>0.90532225107062103</v>
      </c>
      <c r="P125" s="23">
        <f t="shared" si="16"/>
        <v>0.99006157075539902</v>
      </c>
      <c r="Q125" s="23">
        <f t="shared" si="17"/>
        <v>0.88362692134020127</v>
      </c>
      <c r="R125" s="23">
        <f t="shared" si="18"/>
        <v>0.92104826671089757</v>
      </c>
      <c r="S125" s="23">
        <f t="shared" si="19"/>
        <v>0.80517380759903023</v>
      </c>
      <c r="T125" s="23">
        <f t="shared" si="20"/>
        <v>0.84825553391107444</v>
      </c>
      <c r="U125" s="23">
        <f t="shared" si="21"/>
        <v>0.95107719311109606</v>
      </c>
      <c r="V125" s="21"/>
      <c r="W125" s="21"/>
      <c r="X125" s="21"/>
      <c r="Y125" s="21"/>
      <c r="Z125" s="21"/>
      <c r="AA125" s="21"/>
      <c r="AC125" s="21"/>
      <c r="AD125" s="21"/>
      <c r="AE125" s="21"/>
      <c r="AH125" s="21"/>
    </row>
    <row r="126" spans="2:34">
      <c r="B126" s="24">
        <v>8.5609999999999999</v>
      </c>
      <c r="C126" s="24">
        <v>368.51998900000001</v>
      </c>
      <c r="D126" s="24">
        <v>41.945</v>
      </c>
      <c r="E126" s="24">
        <v>16.006001000000001</v>
      </c>
      <c r="F126" s="24">
        <v>11.17</v>
      </c>
      <c r="G126" s="22">
        <v>0.98295600000000005</v>
      </c>
      <c r="H126" s="22">
        <v>0.88002000000000002</v>
      </c>
      <c r="I126" s="22">
        <v>9.8699999999999992</v>
      </c>
      <c r="J126" s="22">
        <v>20.129999000000002</v>
      </c>
      <c r="K126" s="22">
        <f t="shared" si="12"/>
        <v>20.479043822917813</v>
      </c>
      <c r="L126">
        <f t="shared" si="13"/>
        <v>418.76319742733119</v>
      </c>
      <c r="M126" s="21"/>
      <c r="N126" s="23">
        <f t="shared" si="14"/>
        <v>0.89000935648196311</v>
      </c>
      <c r="O126" s="23">
        <f t="shared" si="15"/>
        <v>0.9148048670916975</v>
      </c>
      <c r="P126" s="23">
        <f t="shared" si="16"/>
        <v>0.99254618989806909</v>
      </c>
      <c r="Q126" s="23">
        <f t="shared" si="17"/>
        <v>0.87531455076640885</v>
      </c>
      <c r="R126" s="23">
        <f t="shared" si="18"/>
        <v>0.92635594625974482</v>
      </c>
      <c r="S126" s="23">
        <f t="shared" si="19"/>
        <v>0.79789814066289433</v>
      </c>
      <c r="T126" s="23">
        <f t="shared" si="20"/>
        <v>0.84615376855175406</v>
      </c>
      <c r="U126" s="23">
        <f t="shared" si="21"/>
        <v>0.93700445014806522</v>
      </c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H126" s="21"/>
    </row>
    <row r="127" spans="2:34">
      <c r="B127" s="24">
        <v>8.3510000000000009</v>
      </c>
      <c r="C127" s="24">
        <v>363.5</v>
      </c>
      <c r="D127" s="24">
        <v>41.139999000000003</v>
      </c>
      <c r="E127" s="24">
        <v>15.53</v>
      </c>
      <c r="F127" s="24">
        <v>10.894</v>
      </c>
      <c r="G127" s="22">
        <v>0.97926899999999995</v>
      </c>
      <c r="H127" s="22">
        <v>0.87895000000000001</v>
      </c>
      <c r="I127" s="22">
        <v>9.8699999999999992</v>
      </c>
      <c r="J127" s="22">
        <v>20.120000999999998</v>
      </c>
      <c r="K127" s="22">
        <f t="shared" si="12"/>
        <v>20.545938858475047</v>
      </c>
      <c r="L127">
        <f t="shared" si="13"/>
        <v>413.56163604300588</v>
      </c>
      <c r="M127" s="21"/>
      <c r="N127" s="23">
        <f t="shared" si="14"/>
        <v>0.86817756523547185</v>
      </c>
      <c r="O127" s="23">
        <f t="shared" si="15"/>
        <v>0.90234337108870377</v>
      </c>
      <c r="P127" s="23">
        <f t="shared" si="16"/>
        <v>0.97349741947455892</v>
      </c>
      <c r="Q127" s="23">
        <f t="shared" si="17"/>
        <v>0.84928365138814677</v>
      </c>
      <c r="R127" s="23">
        <f t="shared" si="18"/>
        <v>0.90346657820534115</v>
      </c>
      <c r="S127" s="23">
        <f t="shared" si="19"/>
        <v>0.79789814066289433</v>
      </c>
      <c r="T127" s="23">
        <f t="shared" si="20"/>
        <v>0.84573350795571611</v>
      </c>
      <c r="U127" s="23">
        <f t="shared" si="21"/>
        <v>0.94006518611562029</v>
      </c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H127" s="21"/>
    </row>
    <row r="128" spans="2:34">
      <c r="B128" s="24">
        <v>8.4369999999999994</v>
      </c>
      <c r="C128" s="24">
        <v>366.95001200000002</v>
      </c>
      <c r="D128" s="24">
        <v>41.264999000000003</v>
      </c>
      <c r="E128" s="24">
        <v>15.622</v>
      </c>
      <c r="F128" s="24">
        <v>10.988</v>
      </c>
      <c r="G128" s="22">
        <v>0.98320700000000005</v>
      </c>
      <c r="H128" s="22">
        <v>0.86739999999999995</v>
      </c>
      <c r="I128" s="22">
        <v>9.9700000000000006</v>
      </c>
      <c r="J128" s="22">
        <v>19.959999</v>
      </c>
      <c r="K128" s="22">
        <f t="shared" si="12"/>
        <v>20.300912218891849</v>
      </c>
      <c r="L128">
        <f t="shared" si="13"/>
        <v>423.04589808623479</v>
      </c>
      <c r="M128" s="21"/>
      <c r="N128" s="23">
        <f t="shared" si="14"/>
        <v>0.87711820355546333</v>
      </c>
      <c r="O128" s="23">
        <f t="shared" si="15"/>
        <v>0.91090759518327458</v>
      </c>
      <c r="P128" s="23">
        <f t="shared" si="16"/>
        <v>0.97645529940630904</v>
      </c>
      <c r="Q128" s="23">
        <f t="shared" si="17"/>
        <v>0.85431482305123174</v>
      </c>
      <c r="R128" s="23">
        <f t="shared" si="18"/>
        <v>0.91126223254271044</v>
      </c>
      <c r="S128" s="23">
        <f t="shared" si="19"/>
        <v>0.80598221503637868</v>
      </c>
      <c r="T128" s="23">
        <f t="shared" si="20"/>
        <v>0.83900790924725033</v>
      </c>
      <c r="U128" s="23">
        <f t="shared" si="21"/>
        <v>0.92885416212057659</v>
      </c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H128" s="21"/>
    </row>
    <row r="129" spans="2:34">
      <c r="B129" s="24">
        <v>8.3979999999999997</v>
      </c>
      <c r="C129" s="24">
        <v>368.41000400000001</v>
      </c>
      <c r="D129" s="24">
        <v>41.439999</v>
      </c>
      <c r="E129" s="24">
        <v>15.496</v>
      </c>
      <c r="F129" s="24">
        <v>10.926</v>
      </c>
      <c r="G129" s="22">
        <v>0.99843199999999999</v>
      </c>
      <c r="H129" s="22">
        <v>0.87182999999999999</v>
      </c>
      <c r="I129" s="22">
        <v>9.85</v>
      </c>
      <c r="J129" s="22">
        <v>19.93</v>
      </c>
      <c r="K129" s="22">
        <f t="shared" si="12"/>
        <v>19.961299317329573</v>
      </c>
      <c r="L129">
        <f t="shared" si="13"/>
        <v>422.5709186423959</v>
      </c>
      <c r="M129" s="21"/>
      <c r="N129" s="23">
        <f t="shared" si="14"/>
        <v>0.87306372803825782</v>
      </c>
      <c r="O129" s="23">
        <f t="shared" si="15"/>
        <v>0.91453184305959523</v>
      </c>
      <c r="P129" s="23">
        <f t="shared" si="16"/>
        <v>0.98059633131075918</v>
      </c>
      <c r="Q129" s="23">
        <f t="shared" si="17"/>
        <v>0.8474243053387458</v>
      </c>
      <c r="R129" s="23">
        <f t="shared" si="18"/>
        <v>0.90612041797976473</v>
      </c>
      <c r="S129" s="23">
        <f t="shared" si="19"/>
        <v>0.79628132578819755</v>
      </c>
      <c r="T129" s="23">
        <f t="shared" si="20"/>
        <v>0.83774691728680439</v>
      </c>
      <c r="U129" s="23">
        <f t="shared" si="21"/>
        <v>0.913315409293873</v>
      </c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H129" s="21"/>
    </row>
    <row r="130" spans="2:34">
      <c r="B130" s="24">
        <v>8.5739999999999998</v>
      </c>
      <c r="C130" s="24">
        <v>354.57998700000002</v>
      </c>
      <c r="D130" s="24">
        <v>42.119999</v>
      </c>
      <c r="E130" s="24">
        <v>15.91</v>
      </c>
      <c r="F130" s="24">
        <v>11.106</v>
      </c>
      <c r="G130" s="22">
        <v>0.99109999999999998</v>
      </c>
      <c r="H130" s="22">
        <v>0.87251999999999996</v>
      </c>
      <c r="I130" s="22">
        <v>9.7899999999999991</v>
      </c>
      <c r="J130" s="22">
        <v>19.93</v>
      </c>
      <c r="K130" s="22">
        <f t="shared" si="12"/>
        <v>20.108969831500353</v>
      </c>
      <c r="L130">
        <f t="shared" si="13"/>
        <v>406.38608513271907</v>
      </c>
      <c r="M130" s="21"/>
      <c r="N130" s="23">
        <f t="shared" si="14"/>
        <v>0.89136084832103157</v>
      </c>
      <c r="O130" s="23">
        <f t="shared" si="15"/>
        <v>0.88020055238010664</v>
      </c>
      <c r="P130" s="23">
        <f t="shared" si="16"/>
        <v>0.99668719813947981</v>
      </c>
      <c r="Q130" s="23">
        <f t="shared" si="17"/>
        <v>0.87006457782262814</v>
      </c>
      <c r="R130" s="23">
        <f t="shared" si="18"/>
        <v>0.92104826671089757</v>
      </c>
      <c r="S130" s="23">
        <f t="shared" si="19"/>
        <v>0.79143088116410698</v>
      </c>
      <c r="T130" s="23">
        <f t="shared" si="20"/>
        <v>0.83774691728680439</v>
      </c>
      <c r="U130" s="23">
        <f t="shared" si="21"/>
        <v>0.92007197127646068</v>
      </c>
      <c r="V130" s="21"/>
      <c r="W130" s="21"/>
      <c r="X130" s="21"/>
      <c r="Y130" s="21"/>
      <c r="Z130" s="21"/>
      <c r="AA130" s="21"/>
      <c r="AC130" s="21"/>
      <c r="AD130" s="21"/>
      <c r="AE130" s="21"/>
      <c r="AH130" s="21"/>
    </row>
    <row r="131" spans="2:34">
      <c r="B131" s="24">
        <v>8.5329999999999995</v>
      </c>
      <c r="C131" s="24">
        <v>346.17999300000002</v>
      </c>
      <c r="D131" s="24">
        <v>42.494999</v>
      </c>
      <c r="E131" s="24">
        <v>15.923999999999999</v>
      </c>
      <c r="F131" s="24">
        <v>11.084</v>
      </c>
      <c r="G131" s="22">
        <v>0.97890500000000003</v>
      </c>
      <c r="H131" s="22">
        <v>0.87692000000000003</v>
      </c>
      <c r="I131" s="22">
        <v>9.92</v>
      </c>
      <c r="J131" s="22">
        <v>19.879999000000002</v>
      </c>
      <c r="K131" s="22">
        <f t="shared" ref="K131:K194" si="22">J131/G131</f>
        <v>20.30840479923997</v>
      </c>
      <c r="L131">
        <f t="shared" ref="L131:L194" si="23">C131/H131</f>
        <v>394.76804383524154</v>
      </c>
      <c r="M131" s="21"/>
      <c r="N131" s="23">
        <f t="shared" si="14"/>
        <v>0.8870984509824309</v>
      </c>
      <c r="O131" s="23">
        <f t="shared" si="15"/>
        <v>0.85934861592045086</v>
      </c>
      <c r="P131" s="23">
        <f t="shared" si="16"/>
        <v>1.0055608379347301</v>
      </c>
      <c r="Q131" s="23">
        <f t="shared" si="17"/>
        <v>0.87083019090179326</v>
      </c>
      <c r="R131" s="23">
        <f t="shared" si="18"/>
        <v>0.91922375186598126</v>
      </c>
      <c r="S131" s="23">
        <f t="shared" si="19"/>
        <v>0.80194017784963656</v>
      </c>
      <c r="T131" s="23">
        <f t="shared" si="20"/>
        <v>0.83564515192748401</v>
      </c>
      <c r="U131" s="23">
        <f t="shared" si="21"/>
        <v>0.92919697993912254</v>
      </c>
      <c r="V131" s="21"/>
      <c r="X131" s="21"/>
      <c r="Y131" s="21"/>
      <c r="Z131" s="21"/>
      <c r="AA131" s="21"/>
      <c r="AB131" s="21"/>
      <c r="AC131" s="21"/>
      <c r="AD131" s="21"/>
      <c r="AE131" s="21"/>
      <c r="AH131" s="21"/>
    </row>
    <row r="132" spans="2:34">
      <c r="B132" s="24">
        <v>8.5980000000000008</v>
      </c>
      <c r="C132" s="24">
        <v>357.07998700000002</v>
      </c>
      <c r="D132" s="24">
        <v>42.884998000000003</v>
      </c>
      <c r="E132" s="24">
        <v>16.216000000000001</v>
      </c>
      <c r="F132" s="24">
        <v>11.21</v>
      </c>
      <c r="G132" s="22">
        <v>0.97350099999999995</v>
      </c>
      <c r="H132" s="22">
        <v>0.97899999999999998</v>
      </c>
      <c r="I132" s="22">
        <v>10.16</v>
      </c>
      <c r="J132" s="22">
        <v>20.370000999999998</v>
      </c>
      <c r="K132" s="22">
        <f t="shared" si="22"/>
        <v>20.924478762733678</v>
      </c>
      <c r="L132">
        <f t="shared" si="23"/>
        <v>364.73951685393263</v>
      </c>
      <c r="M132" s="21"/>
      <c r="N132" s="23">
        <f t="shared" ref="N132:N195" si="24">N131+(B132-B131)/B$2</f>
        <v>0.89385591017777355</v>
      </c>
      <c r="O132" s="23">
        <f t="shared" ref="O132:O195" si="25">O131+(C132-C131)/C$2</f>
        <v>0.88640649028305507</v>
      </c>
      <c r="P132" s="23">
        <f t="shared" ref="P132:P195" si="26">P131+(D132-D131)/D$2</f>
        <v>1.0147893996587509</v>
      </c>
      <c r="Q132" s="23">
        <f t="shared" ref="Q132:Q195" si="27">Q131+(E132-E131)/E$2</f>
        <v>0.88679869226723695</v>
      </c>
      <c r="R132" s="23">
        <f t="shared" ref="R132:R195" si="28">R131+(F132-F131)/F$2</f>
        <v>0.92967324597777434</v>
      </c>
      <c r="S132" s="23">
        <f t="shared" ref="S132:S195" si="29">S131+(I132-I131)/I$2</f>
        <v>0.82134195634599871</v>
      </c>
      <c r="T132" s="23">
        <f t="shared" ref="T132:T195" si="30">T131+(J132-J131)/J$2</f>
        <v>0.85624212457998605</v>
      </c>
      <c r="U132" s="23">
        <f t="shared" ref="U132:U195" si="31">U131+(K132-K131)/K$2</f>
        <v>0.95738501695909084</v>
      </c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H132" s="21"/>
    </row>
    <row r="133" spans="2:34">
      <c r="B133" s="24">
        <v>8.4</v>
      </c>
      <c r="C133" s="24">
        <v>362.76998900000001</v>
      </c>
      <c r="D133" s="24">
        <v>42.369999</v>
      </c>
      <c r="E133" s="24">
        <v>15.634</v>
      </c>
      <c r="F133" s="24">
        <v>10.936</v>
      </c>
      <c r="G133" s="22">
        <v>0.97100600000000004</v>
      </c>
      <c r="H133" s="22">
        <v>0.87658000000000003</v>
      </c>
      <c r="I133" s="22">
        <v>10.15</v>
      </c>
      <c r="J133" s="22">
        <v>20.41</v>
      </c>
      <c r="K133" s="22">
        <f t="shared" si="22"/>
        <v>21.019437572991308</v>
      </c>
      <c r="L133">
        <f t="shared" si="23"/>
        <v>413.8469837322321</v>
      </c>
      <c r="M133" s="21"/>
      <c r="N133" s="23">
        <f t="shared" si="24"/>
        <v>0.87327164985965311</v>
      </c>
      <c r="O133" s="23">
        <f t="shared" si="25"/>
        <v>0.90053120991491609</v>
      </c>
      <c r="P133" s="23">
        <f t="shared" si="26"/>
        <v>1.0026029580029798</v>
      </c>
      <c r="Q133" s="23">
        <f t="shared" si="27"/>
        <v>0.85497106283337332</v>
      </c>
      <c r="R133" s="23">
        <f t="shared" si="28"/>
        <v>0.90694974290927199</v>
      </c>
      <c r="S133" s="23">
        <f t="shared" si="29"/>
        <v>0.82053354890865027</v>
      </c>
      <c r="T133" s="23">
        <f t="shared" si="30"/>
        <v>0.85792346120540286</v>
      </c>
      <c r="U133" s="23">
        <f t="shared" si="31"/>
        <v>0.96172979147891446</v>
      </c>
      <c r="V133" s="21"/>
      <c r="W133" s="21"/>
      <c r="X133" s="21"/>
      <c r="Y133" s="21"/>
      <c r="Z133" s="21"/>
      <c r="AA133" s="21"/>
      <c r="AC133" s="21"/>
      <c r="AD133" s="21"/>
      <c r="AE133" s="21"/>
      <c r="AH133" s="21"/>
    </row>
    <row r="134" spans="2:34">
      <c r="B134" s="24">
        <v>8.3650000000000002</v>
      </c>
      <c r="C134" s="24">
        <v>365.66000400000001</v>
      </c>
      <c r="D134" s="24">
        <v>42.209999000000003</v>
      </c>
      <c r="E134" s="24">
        <v>15.385999999999999</v>
      </c>
      <c r="F134" s="24">
        <v>10.89</v>
      </c>
      <c r="G134" s="22">
        <v>0.97001700000000002</v>
      </c>
      <c r="H134" s="22">
        <v>0.88436000000000003</v>
      </c>
      <c r="I134" s="22">
        <v>10.119999999999999</v>
      </c>
      <c r="J134" s="22">
        <v>20.51</v>
      </c>
      <c r="K134" s="22">
        <f t="shared" si="22"/>
        <v>21.143959332671489</v>
      </c>
      <c r="L134">
        <f t="shared" si="23"/>
        <v>413.47415532136233</v>
      </c>
      <c r="M134" s="21"/>
      <c r="N134" s="23">
        <f t="shared" si="24"/>
        <v>0.86963301798523784</v>
      </c>
      <c r="O134" s="23">
        <f t="shared" si="25"/>
        <v>0.90770531136635191</v>
      </c>
      <c r="P134" s="23">
        <f t="shared" si="26"/>
        <v>0.99881687169033972</v>
      </c>
      <c r="Q134" s="23">
        <f t="shared" si="27"/>
        <v>0.84140877400244862</v>
      </c>
      <c r="R134" s="23">
        <f t="shared" si="28"/>
        <v>0.90313484823353807</v>
      </c>
      <c r="S134" s="23">
        <f t="shared" si="29"/>
        <v>0.81810832659660493</v>
      </c>
      <c r="T134" s="23">
        <f t="shared" si="30"/>
        <v>0.86212690785511092</v>
      </c>
      <c r="U134" s="23">
        <f t="shared" si="31"/>
        <v>0.96742719825090573</v>
      </c>
      <c r="V134" s="21"/>
      <c r="W134" s="21"/>
      <c r="X134" s="21"/>
      <c r="Y134" s="21"/>
      <c r="Z134" s="21"/>
      <c r="AA134" s="21"/>
      <c r="AC134" s="21"/>
      <c r="AD134" s="21"/>
      <c r="AE134" s="21"/>
      <c r="AH134" s="21"/>
    </row>
    <row r="135" spans="2:34">
      <c r="B135" s="24">
        <v>8.327</v>
      </c>
      <c r="C135" s="24">
        <v>365.23998999999998</v>
      </c>
      <c r="D135" s="24">
        <v>42.154998999999997</v>
      </c>
      <c r="E135" s="24">
        <v>15.215999999999999</v>
      </c>
      <c r="F135" s="24">
        <v>10.874000000000001</v>
      </c>
      <c r="G135" s="22">
        <v>0.97079800000000005</v>
      </c>
      <c r="H135" s="22">
        <v>0.87409999999999999</v>
      </c>
      <c r="I135" s="22">
        <v>9.9600000000000009</v>
      </c>
      <c r="J135" s="22">
        <v>20.209999</v>
      </c>
      <c r="K135" s="22">
        <f t="shared" si="22"/>
        <v>20.817924017148776</v>
      </c>
      <c r="L135">
        <f t="shared" si="23"/>
        <v>417.84691682873813</v>
      </c>
      <c r="M135" s="21"/>
      <c r="N135" s="23">
        <f t="shared" si="24"/>
        <v>0.86568250337872987</v>
      </c>
      <c r="O135" s="23">
        <f t="shared" si="25"/>
        <v>0.90666267904540421</v>
      </c>
      <c r="P135" s="23">
        <f t="shared" si="26"/>
        <v>0.99751540452036946</v>
      </c>
      <c r="Q135" s="23">
        <f t="shared" si="27"/>
        <v>0.83211204375544379</v>
      </c>
      <c r="R135" s="23">
        <f t="shared" si="28"/>
        <v>0.90180792834632628</v>
      </c>
      <c r="S135" s="23">
        <f t="shared" si="29"/>
        <v>0.80517380759903023</v>
      </c>
      <c r="T135" s="23">
        <f t="shared" si="30"/>
        <v>0.84951652587152038</v>
      </c>
      <c r="U135" s="23">
        <f t="shared" si="31"/>
        <v>0.95250967845887646</v>
      </c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H135" s="21"/>
    </row>
    <row r="136" spans="2:34">
      <c r="B136" s="24">
        <v>8.3089999999999993</v>
      </c>
      <c r="C136" s="24">
        <v>357.58999599999999</v>
      </c>
      <c r="D136" s="24">
        <v>42.310001</v>
      </c>
      <c r="E136" s="24">
        <v>15.156000000000001</v>
      </c>
      <c r="F136" s="24">
        <v>10.853999999999999</v>
      </c>
      <c r="G136" s="22">
        <v>0.97513399999999995</v>
      </c>
      <c r="H136" s="22">
        <v>0.86426999999999998</v>
      </c>
      <c r="I136" s="22">
        <v>9.89</v>
      </c>
      <c r="J136" s="22">
        <v>19.82</v>
      </c>
      <c r="K136" s="22">
        <f t="shared" si="22"/>
        <v>20.325411687009172</v>
      </c>
      <c r="L136">
        <f t="shared" si="23"/>
        <v>413.7480139308318</v>
      </c>
      <c r="M136" s="21"/>
      <c r="N136" s="23">
        <f t="shared" si="24"/>
        <v>0.86381120698617342</v>
      </c>
      <c r="O136" s="23">
        <f t="shared" si="25"/>
        <v>0.88767252395663299</v>
      </c>
      <c r="P136" s="23">
        <f t="shared" si="26"/>
        <v>1.0011832229618185</v>
      </c>
      <c r="Q136" s="23">
        <f t="shared" si="27"/>
        <v>0.82883084484473624</v>
      </c>
      <c r="R136" s="23">
        <f t="shared" si="28"/>
        <v>0.90014927848731141</v>
      </c>
      <c r="S136" s="23">
        <f t="shared" si="29"/>
        <v>0.79951495553759122</v>
      </c>
      <c r="T136" s="23">
        <f t="shared" si="30"/>
        <v>0.83312312597212568</v>
      </c>
      <c r="U136" s="23">
        <f t="shared" si="31"/>
        <v>0.92997511829659196</v>
      </c>
      <c r="V136" s="21"/>
      <c r="W136" s="21"/>
      <c r="X136" s="21"/>
      <c r="Z136" s="21"/>
      <c r="AA136" s="21"/>
      <c r="AB136" s="21"/>
      <c r="AC136" s="21"/>
      <c r="AD136" s="21"/>
      <c r="AE136" s="21"/>
      <c r="AH136" s="21"/>
    </row>
    <row r="137" spans="2:34">
      <c r="B137" s="24">
        <v>8.2959999999999994</v>
      </c>
      <c r="C137" s="24">
        <v>352.47000100000002</v>
      </c>
      <c r="D137" s="24">
        <v>42.23</v>
      </c>
      <c r="E137" s="24">
        <v>15.24</v>
      </c>
      <c r="F137" s="24">
        <v>10.842000000000001</v>
      </c>
      <c r="G137" s="22">
        <v>0.97393700000000005</v>
      </c>
      <c r="H137" s="22">
        <v>0.86629999999999996</v>
      </c>
      <c r="I137" s="22">
        <v>9.81</v>
      </c>
      <c r="J137" s="22">
        <v>19.82</v>
      </c>
      <c r="K137" s="22">
        <f t="shared" si="22"/>
        <v>20.350392273832906</v>
      </c>
      <c r="L137">
        <f t="shared" si="23"/>
        <v>406.86829158490133</v>
      </c>
      <c r="M137" s="21"/>
      <c r="N137" s="23">
        <f t="shared" si="24"/>
        <v>0.86245971514710495</v>
      </c>
      <c r="O137" s="23">
        <f t="shared" si="25"/>
        <v>0.87496277554327051</v>
      </c>
      <c r="P137" s="23">
        <f t="shared" si="26"/>
        <v>0.99929015614245886</v>
      </c>
      <c r="Q137" s="23">
        <f t="shared" si="27"/>
        <v>0.83342452331972683</v>
      </c>
      <c r="R137" s="23">
        <f t="shared" si="28"/>
        <v>0.89915408857190271</v>
      </c>
      <c r="S137" s="23">
        <f t="shared" si="29"/>
        <v>0.79304769603880387</v>
      </c>
      <c r="T137" s="23">
        <f t="shared" si="30"/>
        <v>0.83312312597212568</v>
      </c>
      <c r="U137" s="23">
        <f t="shared" si="31"/>
        <v>0.93111808772541627</v>
      </c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H137" s="21"/>
    </row>
    <row r="138" spans="2:34">
      <c r="B138" s="24">
        <v>8.3309999999999995</v>
      </c>
      <c r="C138" s="24">
        <v>349.32000699999998</v>
      </c>
      <c r="D138" s="24">
        <v>42.599997999999999</v>
      </c>
      <c r="E138" s="24">
        <v>15.23</v>
      </c>
      <c r="F138" s="24">
        <v>10.882</v>
      </c>
      <c r="G138" s="22">
        <v>0.98463999999999996</v>
      </c>
      <c r="H138" s="22">
        <v>0.86699999999999999</v>
      </c>
      <c r="I138" s="22">
        <v>9.7799999999999994</v>
      </c>
      <c r="J138" s="22">
        <v>19.82</v>
      </c>
      <c r="K138" s="22">
        <f t="shared" si="22"/>
        <v>20.129184270393242</v>
      </c>
      <c r="L138">
        <f t="shared" si="23"/>
        <v>402.90658246828139</v>
      </c>
      <c r="M138" s="21"/>
      <c r="N138" s="23">
        <f t="shared" si="24"/>
        <v>0.86609834702152022</v>
      </c>
      <c r="O138" s="23">
        <f t="shared" si="25"/>
        <v>0.86714330867980627</v>
      </c>
      <c r="P138" s="23">
        <f t="shared" si="26"/>
        <v>1.0080454334143603</v>
      </c>
      <c r="Q138" s="23">
        <f t="shared" si="27"/>
        <v>0.8328776568346089</v>
      </c>
      <c r="R138" s="23">
        <f t="shared" si="28"/>
        <v>0.90247138828993212</v>
      </c>
      <c r="S138" s="23">
        <f t="shared" si="29"/>
        <v>0.79062247372675853</v>
      </c>
      <c r="T138" s="23">
        <f t="shared" si="30"/>
        <v>0.83312312597212568</v>
      </c>
      <c r="U138" s="23">
        <f t="shared" si="31"/>
        <v>0.92099686891150967</v>
      </c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H138" s="21"/>
    </row>
    <row r="139" spans="2:34">
      <c r="B139" s="24">
        <v>8.3930000000000007</v>
      </c>
      <c r="C139" s="24">
        <v>346.51001000000002</v>
      </c>
      <c r="D139" s="24">
        <v>42.650002000000001</v>
      </c>
      <c r="E139" s="24">
        <v>15.36</v>
      </c>
      <c r="F139" s="24">
        <v>10.948</v>
      </c>
      <c r="G139" s="22">
        <v>0.98638800000000004</v>
      </c>
      <c r="H139" s="22">
        <v>0.86941000000000002</v>
      </c>
      <c r="I139" s="22">
        <v>9.86</v>
      </c>
      <c r="J139" s="22">
        <v>19.559999000000001</v>
      </c>
      <c r="K139" s="22">
        <f t="shared" si="22"/>
        <v>19.829923924459745</v>
      </c>
      <c r="L139">
        <f t="shared" si="23"/>
        <v>398.55765404124639</v>
      </c>
      <c r="M139" s="21"/>
      <c r="N139" s="23">
        <f t="shared" si="24"/>
        <v>0.87254392348477017</v>
      </c>
      <c r="O139" s="23">
        <f t="shared" si="25"/>
        <v>0.86016784192401785</v>
      </c>
      <c r="P139" s="23">
        <f t="shared" si="26"/>
        <v>1.0092286800392181</v>
      </c>
      <c r="Q139" s="23">
        <f t="shared" si="27"/>
        <v>0.83998692114114193</v>
      </c>
      <c r="R139" s="23">
        <f t="shared" si="28"/>
        <v>0.90794493282468092</v>
      </c>
      <c r="S139" s="23">
        <f t="shared" si="29"/>
        <v>0.79708973322554588</v>
      </c>
      <c r="T139" s="23">
        <f t="shared" si="30"/>
        <v>0.8221941226484184</v>
      </c>
      <c r="U139" s="23">
        <f t="shared" si="31"/>
        <v>0.9073044192875318</v>
      </c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H139" s="21"/>
    </row>
    <row r="140" spans="2:34">
      <c r="B140" s="24">
        <v>8.4220000000000006</v>
      </c>
      <c r="C140" s="24">
        <v>351.70001200000002</v>
      </c>
      <c r="D140" s="24">
        <v>42.755001</v>
      </c>
      <c r="E140" s="24">
        <v>15.382</v>
      </c>
      <c r="F140" s="24">
        <v>10.994</v>
      </c>
      <c r="G140" s="22">
        <v>0.97664799999999996</v>
      </c>
      <c r="H140" s="22">
        <v>0.87109000000000003</v>
      </c>
      <c r="I140" s="22">
        <v>9.76</v>
      </c>
      <c r="J140" s="22">
        <v>19.940000999999999</v>
      </c>
      <c r="K140" s="22">
        <f t="shared" si="22"/>
        <v>20.416773494646996</v>
      </c>
      <c r="L140">
        <f t="shared" si="23"/>
        <v>403.74704335946916</v>
      </c>
      <c r="M140" s="21"/>
      <c r="N140" s="23">
        <f t="shared" si="24"/>
        <v>0.87555878989499991</v>
      </c>
      <c r="O140" s="23">
        <f t="shared" si="25"/>
        <v>0.87305137397528909</v>
      </c>
      <c r="P140" s="23">
        <f t="shared" si="26"/>
        <v>1.0117132755188487</v>
      </c>
      <c r="Q140" s="23">
        <f t="shared" si="27"/>
        <v>0.84119002740840143</v>
      </c>
      <c r="R140" s="23">
        <f t="shared" si="28"/>
        <v>0.91175982750041484</v>
      </c>
      <c r="S140" s="23">
        <f t="shared" si="29"/>
        <v>0.78900565885206164</v>
      </c>
      <c r="T140" s="23">
        <f t="shared" si="30"/>
        <v>0.83816730398624173</v>
      </c>
      <c r="U140" s="23">
        <f t="shared" si="31"/>
        <v>0.9341553144556729</v>
      </c>
      <c r="V140" s="21"/>
      <c r="W140" s="21"/>
      <c r="X140" s="21"/>
      <c r="Y140" s="21"/>
      <c r="Z140" s="21"/>
      <c r="AA140" s="21"/>
      <c r="AC140" s="21"/>
      <c r="AD140" s="21"/>
      <c r="AE140" s="21"/>
      <c r="AH140" s="21"/>
    </row>
    <row r="141" spans="2:34">
      <c r="B141" s="24">
        <v>8.4450000000000003</v>
      </c>
      <c r="C141" s="24">
        <v>341.98001099999999</v>
      </c>
      <c r="D141" s="24">
        <v>43.264999000000003</v>
      </c>
      <c r="E141" s="24">
        <v>15.538</v>
      </c>
      <c r="F141" s="24">
        <v>11.034000000000001</v>
      </c>
      <c r="G141" s="22">
        <v>0.97789000000000004</v>
      </c>
      <c r="H141" s="22">
        <v>0.87114000000000003</v>
      </c>
      <c r="I141" s="22">
        <v>9.92</v>
      </c>
      <c r="J141" s="22">
        <v>19.989999999999998</v>
      </c>
      <c r="K141" s="22">
        <f t="shared" si="22"/>
        <v>20.441972000940797</v>
      </c>
      <c r="L141">
        <f t="shared" si="23"/>
        <v>392.56607548729249</v>
      </c>
      <c r="M141" s="21"/>
      <c r="N141" s="23">
        <f t="shared" si="24"/>
        <v>0.87794989084104413</v>
      </c>
      <c r="O141" s="23">
        <f t="shared" si="25"/>
        <v>0.84892268492625034</v>
      </c>
      <c r="P141" s="23">
        <f t="shared" si="26"/>
        <v>1.0237813783143104</v>
      </c>
      <c r="Q141" s="23">
        <f t="shared" si="27"/>
        <v>0.84972114457624115</v>
      </c>
      <c r="R141" s="23">
        <f t="shared" si="28"/>
        <v>0.91507712721844447</v>
      </c>
      <c r="S141" s="23">
        <f t="shared" si="29"/>
        <v>0.80194017784963645</v>
      </c>
      <c r="T141" s="23">
        <f t="shared" si="30"/>
        <v>0.84026898527662919</v>
      </c>
      <c r="U141" s="23">
        <f t="shared" si="31"/>
        <v>0.93530825463874689</v>
      </c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H141" s="21"/>
    </row>
    <row r="142" spans="2:34">
      <c r="B142" s="24">
        <v>8.4139999999999997</v>
      </c>
      <c r="C142" s="24">
        <v>352.60000600000001</v>
      </c>
      <c r="D142" s="24">
        <v>43.330002</v>
      </c>
      <c r="E142" s="24">
        <v>15.742000000000001</v>
      </c>
      <c r="F142" s="24">
        <v>10.978</v>
      </c>
      <c r="G142" s="22">
        <v>0.98600900000000002</v>
      </c>
      <c r="H142" s="22">
        <v>0.86902999999999997</v>
      </c>
      <c r="I142" s="22">
        <v>10</v>
      </c>
      <c r="J142" s="22">
        <v>20.219999000000001</v>
      </c>
      <c r="K142" s="22">
        <f t="shared" si="22"/>
        <v>20.506911194522566</v>
      </c>
      <c r="L142">
        <f t="shared" si="23"/>
        <v>405.73973970979142</v>
      </c>
      <c r="M142" s="21"/>
      <c r="N142" s="23">
        <f t="shared" si="24"/>
        <v>0.87472710260941922</v>
      </c>
      <c r="O142" s="23">
        <f t="shared" si="25"/>
        <v>0.87528549672609957</v>
      </c>
      <c r="P142" s="23">
        <f t="shared" si="26"/>
        <v>1.0253195468679388</v>
      </c>
      <c r="Q142" s="23">
        <f t="shared" si="27"/>
        <v>0.86087722087264695</v>
      </c>
      <c r="R142" s="23">
        <f t="shared" si="28"/>
        <v>0.91043290761320306</v>
      </c>
      <c r="S142" s="23">
        <f t="shared" si="29"/>
        <v>0.8084074373484238</v>
      </c>
      <c r="T142" s="23">
        <f t="shared" si="30"/>
        <v>0.84993687053649125</v>
      </c>
      <c r="U142" s="23">
        <f t="shared" si="31"/>
        <v>0.93827950241287628</v>
      </c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 spans="2:34">
      <c r="B143" s="24">
        <v>8.3490000000000002</v>
      </c>
      <c r="C143" s="24">
        <v>356.34799199999998</v>
      </c>
      <c r="D143" s="24">
        <v>43.529998999999997</v>
      </c>
      <c r="E143" s="24">
        <v>15.65</v>
      </c>
      <c r="F143" s="24">
        <v>10.904</v>
      </c>
      <c r="G143" s="22">
        <v>0.98865000000000003</v>
      </c>
      <c r="H143" s="22">
        <v>0.87409000000000003</v>
      </c>
      <c r="I143" s="22">
        <v>9.93</v>
      </c>
      <c r="J143" s="22">
        <v>20.07</v>
      </c>
      <c r="K143" s="22">
        <f t="shared" si="22"/>
        <v>20.300409649522074</v>
      </c>
      <c r="L143">
        <f t="shared" si="23"/>
        <v>407.67883398734682</v>
      </c>
      <c r="M143" s="21"/>
      <c r="N143" s="23">
        <f t="shared" si="24"/>
        <v>0.86796964341407667</v>
      </c>
      <c r="O143" s="23">
        <f t="shared" si="25"/>
        <v>0.88458940407694753</v>
      </c>
      <c r="P143" s="23">
        <f t="shared" si="26"/>
        <v>1.0300520837696205</v>
      </c>
      <c r="Q143" s="23">
        <f t="shared" si="27"/>
        <v>0.85584604920956198</v>
      </c>
      <c r="R143" s="23">
        <f t="shared" si="28"/>
        <v>0.90429590313484842</v>
      </c>
      <c r="S143" s="23">
        <f t="shared" si="29"/>
        <v>0.80274858528698478</v>
      </c>
      <c r="T143" s="23">
        <f t="shared" si="30"/>
        <v>0.84363174259639573</v>
      </c>
      <c r="U143" s="23">
        <f t="shared" si="31"/>
        <v>0.9288311674075389</v>
      </c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H143" s="21"/>
    </row>
    <row r="144" spans="2:34">
      <c r="B144" s="24">
        <v>8.4580000000000002</v>
      </c>
      <c r="C144" s="24">
        <v>355.85998499999999</v>
      </c>
      <c r="D144" s="24">
        <v>44.235000999999997</v>
      </c>
      <c r="E144" s="24">
        <v>15.89</v>
      </c>
      <c r="F144" s="24">
        <v>11.08</v>
      </c>
      <c r="G144" s="22">
        <v>0.99637299999999995</v>
      </c>
      <c r="H144" s="22">
        <v>0.86919999999999997</v>
      </c>
      <c r="I144" s="22">
        <v>9.81</v>
      </c>
      <c r="J144" s="22">
        <v>20.049999</v>
      </c>
      <c r="K144" s="22">
        <f t="shared" si="22"/>
        <v>20.122985066837419</v>
      </c>
      <c r="L144">
        <f t="shared" si="23"/>
        <v>409.41093534284403</v>
      </c>
      <c r="M144" s="21"/>
      <c r="N144" s="23">
        <f t="shared" si="24"/>
        <v>0.8793013826801126</v>
      </c>
      <c r="O144" s="23">
        <f t="shared" si="25"/>
        <v>0.88337798762166586</v>
      </c>
      <c r="P144" s="23">
        <f t="shared" si="26"/>
        <v>1.0467345739107701</v>
      </c>
      <c r="Q144" s="23">
        <f t="shared" si="27"/>
        <v>0.86897084485239229</v>
      </c>
      <c r="R144" s="23">
        <f t="shared" si="28"/>
        <v>0.91889202189417829</v>
      </c>
      <c r="S144" s="23">
        <f t="shared" si="29"/>
        <v>0.79304769603880376</v>
      </c>
      <c r="T144" s="23">
        <f t="shared" si="30"/>
        <v>0.84279101123198763</v>
      </c>
      <c r="U144" s="23">
        <f t="shared" si="31"/>
        <v>0.92071322865128025</v>
      </c>
      <c r="V144" s="21"/>
      <c r="W144" s="21"/>
      <c r="X144" s="21"/>
      <c r="Y144" s="21"/>
      <c r="Z144" s="21"/>
      <c r="AA144" s="21"/>
      <c r="AC144" s="21"/>
      <c r="AD144" s="21"/>
      <c r="AE144" s="21"/>
      <c r="AH144" s="21"/>
    </row>
    <row r="145" spans="2:34">
      <c r="B145" s="24">
        <v>8.5830000000000002</v>
      </c>
      <c r="C145" s="24">
        <v>356.73998999999998</v>
      </c>
      <c r="D145" s="24">
        <v>44.044998</v>
      </c>
      <c r="E145" s="24">
        <v>16.134001000000001</v>
      </c>
      <c r="F145" s="24">
        <v>11.222</v>
      </c>
      <c r="G145" s="22">
        <v>1.0091939999999999</v>
      </c>
      <c r="H145" s="22">
        <v>0.86707999999999996</v>
      </c>
      <c r="I145" s="22">
        <v>9.91</v>
      </c>
      <c r="J145" s="22">
        <v>19.940000999999999</v>
      </c>
      <c r="K145" s="22">
        <f t="shared" si="22"/>
        <v>19.758342796330538</v>
      </c>
      <c r="L145">
        <f t="shared" si="23"/>
        <v>411.42684642708861</v>
      </c>
      <c r="M145" s="21"/>
      <c r="N145" s="23">
        <f t="shared" si="24"/>
        <v>0.8922964965173098</v>
      </c>
      <c r="O145" s="23">
        <f t="shared" si="25"/>
        <v>0.88556249017537947</v>
      </c>
      <c r="P145" s="23">
        <f t="shared" si="26"/>
        <v>1.0422385254253916</v>
      </c>
      <c r="Q145" s="23">
        <f t="shared" si="27"/>
        <v>0.88231444177591833</v>
      </c>
      <c r="R145" s="23">
        <f t="shared" si="28"/>
        <v>0.93066843589318304</v>
      </c>
      <c r="S145" s="23">
        <f t="shared" si="29"/>
        <v>0.801131770412288</v>
      </c>
      <c r="T145" s="23">
        <f t="shared" si="30"/>
        <v>0.83816730398624173</v>
      </c>
      <c r="U145" s="23">
        <f t="shared" si="31"/>
        <v>0.90402927440363701</v>
      </c>
      <c r="V145" s="21"/>
      <c r="W145" s="21"/>
      <c r="X145" s="21"/>
      <c r="Y145" s="21"/>
      <c r="Z145" s="21"/>
      <c r="AC145" s="21"/>
      <c r="AD145" s="21"/>
      <c r="AE145" s="21"/>
      <c r="AF145" s="21"/>
      <c r="AH145" s="21"/>
    </row>
    <row r="146" spans="2:34">
      <c r="B146" s="24">
        <v>8.625</v>
      </c>
      <c r="C146" s="24">
        <v>360.94000199999999</v>
      </c>
      <c r="D146" s="24">
        <v>44.375</v>
      </c>
      <c r="E146" s="24">
        <v>15.988</v>
      </c>
      <c r="F146" s="24">
        <v>11.302</v>
      </c>
      <c r="G146" s="22">
        <v>0.99678</v>
      </c>
      <c r="H146" s="22">
        <v>0.86177000000000004</v>
      </c>
      <c r="I146" s="22">
        <v>9.9600000000000009</v>
      </c>
      <c r="J146" s="22">
        <v>20.209999</v>
      </c>
      <c r="K146" s="22">
        <f t="shared" si="22"/>
        <v>20.275285419049339</v>
      </c>
      <c r="L146">
        <f t="shared" si="23"/>
        <v>418.83565452498925</v>
      </c>
      <c r="M146" s="21"/>
      <c r="N146" s="23">
        <f t="shared" si="24"/>
        <v>0.89666285476660801</v>
      </c>
      <c r="O146" s="23">
        <f t="shared" si="25"/>
        <v>0.89598849564083483</v>
      </c>
      <c r="P146" s="23">
        <f t="shared" si="26"/>
        <v>1.0500473757712909</v>
      </c>
      <c r="Q146" s="23">
        <f t="shared" si="27"/>
        <v>0.87433013640654789</v>
      </c>
      <c r="R146" s="23">
        <f t="shared" si="28"/>
        <v>0.93730303532924208</v>
      </c>
      <c r="S146" s="23">
        <f t="shared" si="29"/>
        <v>0.80517380759903023</v>
      </c>
      <c r="T146" s="23">
        <f t="shared" si="30"/>
        <v>0.84951652587152038</v>
      </c>
      <c r="U146" s="23">
        <f t="shared" si="31"/>
        <v>0.92768162566315571</v>
      </c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H146" s="21"/>
    </row>
    <row r="147" spans="2:34">
      <c r="B147" s="24">
        <v>8.6319999999999997</v>
      </c>
      <c r="C147" s="24">
        <v>363.60000600000001</v>
      </c>
      <c r="D147" s="24">
        <v>44.689999</v>
      </c>
      <c r="E147" s="24">
        <v>15.75</v>
      </c>
      <c r="F147" s="24">
        <v>11.336</v>
      </c>
      <c r="G147" s="22">
        <v>0.99550000000000005</v>
      </c>
      <c r="H147" s="22">
        <v>0.85843000000000003</v>
      </c>
      <c r="I147" s="22">
        <v>10.09</v>
      </c>
      <c r="J147" s="22">
        <v>20.399999999999999</v>
      </c>
      <c r="K147" s="22">
        <f t="shared" si="22"/>
        <v>20.492214967353085</v>
      </c>
      <c r="L147">
        <f t="shared" si="23"/>
        <v>423.56395512738374</v>
      </c>
      <c r="M147" s="21"/>
      <c r="N147" s="23">
        <f t="shared" si="24"/>
        <v>0.89739058114149106</v>
      </c>
      <c r="O147" s="23">
        <f t="shared" si="25"/>
        <v>0.90259162349907263</v>
      </c>
      <c r="P147" s="23">
        <f t="shared" si="26"/>
        <v>1.0575012095362617</v>
      </c>
      <c r="Q147" s="23">
        <f t="shared" si="27"/>
        <v>0.86131471406074112</v>
      </c>
      <c r="R147" s="23">
        <f t="shared" si="28"/>
        <v>0.9401227400895672</v>
      </c>
      <c r="S147" s="23">
        <f t="shared" si="29"/>
        <v>0.8156831042845597</v>
      </c>
      <c r="T147" s="23">
        <f t="shared" si="30"/>
        <v>0.85750311654043199</v>
      </c>
      <c r="U147" s="23">
        <f t="shared" si="31"/>
        <v>0.93760708672895754</v>
      </c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H147" s="21"/>
    </row>
    <row r="148" spans="2:34">
      <c r="B148" s="24">
        <v>8.7070000000000007</v>
      </c>
      <c r="C148" s="24">
        <v>364.07998700000002</v>
      </c>
      <c r="D148" s="24">
        <v>45.189999</v>
      </c>
      <c r="E148" s="24">
        <v>16.297999999999998</v>
      </c>
      <c r="F148" s="24">
        <v>11.474</v>
      </c>
      <c r="G148" s="22">
        <v>0.98863100000000004</v>
      </c>
      <c r="H148" s="22">
        <v>0.86209999999999998</v>
      </c>
      <c r="I148" s="22">
        <v>10.07</v>
      </c>
      <c r="J148" s="22">
        <v>20.450001</v>
      </c>
      <c r="K148" s="22">
        <f t="shared" si="22"/>
        <v>20.685170705753713</v>
      </c>
      <c r="L148">
        <f t="shared" si="23"/>
        <v>422.31758148706649</v>
      </c>
      <c r="M148" s="21"/>
      <c r="N148" s="23">
        <f t="shared" si="24"/>
        <v>0.90518764944380947</v>
      </c>
      <c r="O148" s="23">
        <f t="shared" si="25"/>
        <v>0.90378311641131071</v>
      </c>
      <c r="P148" s="23">
        <f t="shared" si="26"/>
        <v>1.0693327292632622</v>
      </c>
      <c r="Q148" s="23">
        <f t="shared" si="27"/>
        <v>0.89128299744520367</v>
      </c>
      <c r="R148" s="23">
        <f t="shared" si="28"/>
        <v>0.95156742411676909</v>
      </c>
      <c r="S148" s="23">
        <f t="shared" si="29"/>
        <v>0.81406628940986292</v>
      </c>
      <c r="T148" s="23">
        <f t="shared" si="30"/>
        <v>0.85960488189975259</v>
      </c>
      <c r="U148" s="23">
        <f t="shared" si="31"/>
        <v>0.94643564274584846</v>
      </c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H148" s="21"/>
    </row>
    <row r="149" spans="2:34">
      <c r="B149" s="24">
        <v>8.7729999999999997</v>
      </c>
      <c r="C149" s="24">
        <v>360.82000699999998</v>
      </c>
      <c r="D149" s="24">
        <v>45.939999</v>
      </c>
      <c r="E149" s="24">
        <v>16.356000999999999</v>
      </c>
      <c r="F149" s="24">
        <v>11.571999999999999</v>
      </c>
      <c r="G149" s="22">
        <v>0.98779099999999997</v>
      </c>
      <c r="H149" s="22">
        <v>0.85967000000000005</v>
      </c>
      <c r="I149" s="22">
        <v>10.07</v>
      </c>
      <c r="J149" s="22">
        <v>20.43</v>
      </c>
      <c r="K149" s="22">
        <f t="shared" si="22"/>
        <v>20.682512798760062</v>
      </c>
      <c r="L149">
        <f t="shared" si="23"/>
        <v>419.71920271732171</v>
      </c>
      <c r="M149" s="21"/>
      <c r="N149" s="23">
        <f t="shared" si="24"/>
        <v>0.91204906954984954</v>
      </c>
      <c r="O149" s="23">
        <f t="shared" si="25"/>
        <v>0.8956906230333691</v>
      </c>
      <c r="P149" s="23">
        <f t="shared" si="26"/>
        <v>1.0870800088537629</v>
      </c>
      <c r="Q149" s="23">
        <f t="shared" si="27"/>
        <v>0.89445487774553623</v>
      </c>
      <c r="R149" s="23">
        <f t="shared" si="28"/>
        <v>0.95969480842594135</v>
      </c>
      <c r="S149" s="23">
        <f t="shared" si="29"/>
        <v>0.81406628940986292</v>
      </c>
      <c r="T149" s="23">
        <f t="shared" si="30"/>
        <v>0.85876415053534449</v>
      </c>
      <c r="U149" s="23">
        <f t="shared" si="31"/>
        <v>0.94631403205432074</v>
      </c>
      <c r="V149" s="21"/>
      <c r="W149" s="21"/>
      <c r="X149" s="21"/>
      <c r="Y149" s="21"/>
      <c r="Z149" s="21"/>
      <c r="AA149" s="21"/>
      <c r="AC149" s="21"/>
      <c r="AD149" s="21"/>
      <c r="AE149" s="21"/>
      <c r="AH149" s="21"/>
    </row>
    <row r="150" spans="2:34">
      <c r="B150" s="24">
        <v>8.8030000000000008</v>
      </c>
      <c r="C150" s="24">
        <v>358.45001200000002</v>
      </c>
      <c r="D150" s="24">
        <v>45.900002000000001</v>
      </c>
      <c r="E150" s="24">
        <v>16.148001000000001</v>
      </c>
      <c r="F150" s="24">
        <v>11.612</v>
      </c>
      <c r="G150" s="22">
        <v>0.98144100000000001</v>
      </c>
      <c r="H150" s="22">
        <v>0.86175999999999997</v>
      </c>
      <c r="I150" s="22">
        <v>10.19</v>
      </c>
      <c r="J150" s="22">
        <v>20.48</v>
      </c>
      <c r="K150" s="22">
        <f t="shared" si="22"/>
        <v>20.867275771034631</v>
      </c>
      <c r="L150">
        <f t="shared" si="23"/>
        <v>415.95109079093953</v>
      </c>
      <c r="M150" s="21"/>
      <c r="N150" s="23">
        <f t="shared" si="24"/>
        <v>0.91516789687077704</v>
      </c>
      <c r="O150" s="23">
        <f t="shared" si="25"/>
        <v>0.88980740631324984</v>
      </c>
      <c r="P150" s="23">
        <f t="shared" si="26"/>
        <v>1.0861335582647211</v>
      </c>
      <c r="Q150" s="23">
        <f t="shared" si="27"/>
        <v>0.88308005485508334</v>
      </c>
      <c r="R150" s="23">
        <f t="shared" si="28"/>
        <v>0.96301210814397098</v>
      </c>
      <c r="S150" s="23">
        <f t="shared" si="29"/>
        <v>0.82376717865804394</v>
      </c>
      <c r="T150" s="23">
        <f t="shared" si="30"/>
        <v>0.86086587386019853</v>
      </c>
      <c r="U150" s="23">
        <f t="shared" si="31"/>
        <v>0.95476773373789814</v>
      </c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H150" s="21"/>
    </row>
    <row r="151" spans="2:34">
      <c r="B151" s="24">
        <v>8.7720000000000002</v>
      </c>
      <c r="C151" s="24">
        <v>364.27999899999998</v>
      </c>
      <c r="D151" s="24">
        <v>45.805</v>
      </c>
      <c r="E151" s="24">
        <v>15.996</v>
      </c>
      <c r="F151" s="24">
        <v>11.54</v>
      </c>
      <c r="G151" s="22">
        <v>0.97496300000000002</v>
      </c>
      <c r="H151" s="22">
        <v>0.87268000000000001</v>
      </c>
      <c r="I151" s="22">
        <v>10.14</v>
      </c>
      <c r="J151" s="22">
        <v>20.610001</v>
      </c>
      <c r="K151" s="22">
        <f t="shared" si="22"/>
        <v>21.139264772099043</v>
      </c>
      <c r="L151">
        <f t="shared" si="23"/>
        <v>417.42677613787413</v>
      </c>
      <c r="M151" s="21"/>
      <c r="N151" s="23">
        <f t="shared" si="24"/>
        <v>0.91194510863915212</v>
      </c>
      <c r="O151" s="23">
        <f t="shared" si="25"/>
        <v>0.90427962123204841</v>
      </c>
      <c r="P151" s="23">
        <f t="shared" si="26"/>
        <v>1.0838855221905122</v>
      </c>
      <c r="Q151" s="23">
        <f t="shared" si="27"/>
        <v>0.87476762959464227</v>
      </c>
      <c r="R151" s="23">
        <f t="shared" si="28"/>
        <v>0.95704096865151778</v>
      </c>
      <c r="S151" s="23">
        <f t="shared" si="29"/>
        <v>0.81972514147130193</v>
      </c>
      <c r="T151" s="23">
        <f t="shared" si="30"/>
        <v>0.86633039653928545</v>
      </c>
      <c r="U151" s="23">
        <f t="shared" si="31"/>
        <v>0.96721240188707591</v>
      </c>
      <c r="V151" s="21"/>
      <c r="X151" s="21"/>
      <c r="Y151" s="21"/>
      <c r="Z151" s="21"/>
      <c r="AA151" s="21"/>
      <c r="AC151" s="21"/>
      <c r="AD151" s="21"/>
      <c r="AE151" s="21"/>
      <c r="AH151" s="21"/>
    </row>
    <row r="152" spans="2:34">
      <c r="B152" s="24">
        <v>8.68</v>
      </c>
      <c r="C152" s="24">
        <v>362.38000499999998</v>
      </c>
      <c r="D152" s="24">
        <v>45.865001999999997</v>
      </c>
      <c r="E152" s="24">
        <v>15.481999999999999</v>
      </c>
      <c r="F152" s="24">
        <v>11.414</v>
      </c>
      <c r="G152" s="22">
        <v>0.99288100000000001</v>
      </c>
      <c r="H152" s="22">
        <v>0.87614000000000003</v>
      </c>
      <c r="I152" s="22">
        <v>10.130000000000001</v>
      </c>
      <c r="J152" s="22">
        <v>20.51</v>
      </c>
      <c r="K152" s="22">
        <f t="shared" si="22"/>
        <v>20.657057593004602</v>
      </c>
      <c r="L152">
        <f t="shared" si="23"/>
        <v>413.60970278722573</v>
      </c>
      <c r="M152" s="21"/>
      <c r="N152" s="23">
        <f t="shared" si="24"/>
        <v>0.9023807048549749</v>
      </c>
      <c r="O152" s="23">
        <f t="shared" si="25"/>
        <v>0.89956312332005861</v>
      </c>
      <c r="P152" s="23">
        <f t="shared" si="26"/>
        <v>1.0853053518838311</v>
      </c>
      <c r="Q152" s="23">
        <f t="shared" si="27"/>
        <v>0.84665869225958057</v>
      </c>
      <c r="R152" s="23">
        <f t="shared" si="28"/>
        <v>0.94659147453972481</v>
      </c>
      <c r="S152" s="23">
        <f t="shared" si="29"/>
        <v>0.81891673403395349</v>
      </c>
      <c r="T152" s="23">
        <f t="shared" si="30"/>
        <v>0.86212690785511104</v>
      </c>
      <c r="U152" s="23">
        <f t="shared" si="31"/>
        <v>0.94514934676537143</v>
      </c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H152" s="21"/>
    </row>
    <row r="153" spans="2:34">
      <c r="B153" s="24">
        <v>8.6280000000000001</v>
      </c>
      <c r="C153" s="24">
        <v>362.05999800000001</v>
      </c>
      <c r="D153" s="24">
        <v>44.924999</v>
      </c>
      <c r="E153" s="24">
        <v>15.12</v>
      </c>
      <c r="F153" s="24">
        <v>11.256</v>
      </c>
      <c r="G153" s="22">
        <v>1.0018629999999999</v>
      </c>
      <c r="H153" s="22">
        <v>0.86978999999999995</v>
      </c>
      <c r="I153" s="22">
        <v>9.98</v>
      </c>
      <c r="J153" s="22">
        <v>20.51</v>
      </c>
      <c r="K153" s="22">
        <f t="shared" si="22"/>
        <v>20.471860923100266</v>
      </c>
      <c r="L153">
        <f t="shared" si="23"/>
        <v>416.26139412961754</v>
      </c>
      <c r="M153" s="21"/>
      <c r="N153" s="23">
        <f t="shared" si="24"/>
        <v>0.89697473749870094</v>
      </c>
      <c r="O153" s="23">
        <f t="shared" si="25"/>
        <v>0.89876874589185518</v>
      </c>
      <c r="P153" s="23">
        <f t="shared" si="26"/>
        <v>1.063062023807952</v>
      </c>
      <c r="Q153" s="23">
        <f t="shared" si="27"/>
        <v>0.82686212549831151</v>
      </c>
      <c r="R153" s="23">
        <f t="shared" si="28"/>
        <v>0.93348814065350827</v>
      </c>
      <c r="S153" s="23">
        <f t="shared" si="29"/>
        <v>0.80679062247372713</v>
      </c>
      <c r="T153" s="23">
        <f t="shared" si="30"/>
        <v>0.86212690785511104</v>
      </c>
      <c r="U153" s="23">
        <f t="shared" si="31"/>
        <v>0.93667580154746577</v>
      </c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H153" s="21"/>
    </row>
    <row r="154" spans="2:34">
      <c r="B154" s="24">
        <v>8.6549999999999994</v>
      </c>
      <c r="C154" s="24">
        <v>359.98998999999998</v>
      </c>
      <c r="D154" s="24">
        <v>45.224997999999999</v>
      </c>
      <c r="E154" s="24">
        <v>15.314</v>
      </c>
      <c r="F154" s="24">
        <v>11.311999999999999</v>
      </c>
      <c r="G154" s="22">
        <v>1.0080849999999999</v>
      </c>
      <c r="H154" s="22">
        <v>0.87253000000000003</v>
      </c>
      <c r="I154" s="22">
        <v>9.8800000000000008</v>
      </c>
      <c r="J154" s="22">
        <v>20.190000999999999</v>
      </c>
      <c r="K154" s="22">
        <f t="shared" si="22"/>
        <v>20.028074021535883</v>
      </c>
      <c r="L154">
        <f t="shared" si="23"/>
        <v>412.581790883981</v>
      </c>
      <c r="M154" s="21"/>
      <c r="N154" s="23">
        <f t="shared" si="24"/>
        <v>0.89978168208753551</v>
      </c>
      <c r="O154" s="23">
        <f t="shared" si="25"/>
        <v>0.89363020944921245</v>
      </c>
      <c r="P154" s="23">
        <f t="shared" si="26"/>
        <v>1.0701609119811129</v>
      </c>
      <c r="Q154" s="23">
        <f t="shared" si="27"/>
        <v>0.83747133530959939</v>
      </c>
      <c r="R154" s="23">
        <f t="shared" si="28"/>
        <v>0.93813236025874958</v>
      </c>
      <c r="S154" s="23">
        <f t="shared" si="29"/>
        <v>0.79870654810024289</v>
      </c>
      <c r="T154" s="23">
        <f t="shared" si="30"/>
        <v>0.84867592061051178</v>
      </c>
      <c r="U154" s="23">
        <f t="shared" si="31"/>
        <v>0.91637063958390286</v>
      </c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H154" s="21"/>
    </row>
    <row r="155" spans="2:34">
      <c r="B155" s="24">
        <v>8.7430000000000003</v>
      </c>
      <c r="C155" s="24">
        <v>358.82998700000002</v>
      </c>
      <c r="D155" s="24">
        <v>45.34</v>
      </c>
      <c r="E155" s="24">
        <v>15.635999999999999</v>
      </c>
      <c r="F155" s="24">
        <v>11.417999999999999</v>
      </c>
      <c r="G155" s="22">
        <v>1.001954</v>
      </c>
      <c r="H155" s="22">
        <v>0.88129999999999997</v>
      </c>
      <c r="I155" s="22">
        <v>9.92</v>
      </c>
      <c r="J155" s="22">
        <v>20.209999</v>
      </c>
      <c r="K155" s="22">
        <f t="shared" si="22"/>
        <v>20.170585675589898</v>
      </c>
      <c r="L155">
        <f t="shared" si="23"/>
        <v>407.15986270282542</v>
      </c>
      <c r="M155" s="21"/>
      <c r="N155" s="23">
        <f t="shared" si="24"/>
        <v>0.90893024222892249</v>
      </c>
      <c r="O155" s="23">
        <f t="shared" si="25"/>
        <v>0.89075064681511895</v>
      </c>
      <c r="P155" s="23">
        <f t="shared" si="26"/>
        <v>1.0728822088444019</v>
      </c>
      <c r="Q155" s="23">
        <f t="shared" si="27"/>
        <v>0.85508043613039675</v>
      </c>
      <c r="R155" s="23">
        <f t="shared" si="28"/>
        <v>0.94692320451152778</v>
      </c>
      <c r="S155" s="23">
        <f t="shared" si="29"/>
        <v>0.80194017784963656</v>
      </c>
      <c r="T155" s="23">
        <f t="shared" si="30"/>
        <v>0.84951652587152038</v>
      </c>
      <c r="U155" s="23">
        <f t="shared" si="31"/>
        <v>0.92289116149895134</v>
      </c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H155" s="21"/>
    </row>
    <row r="156" spans="2:34">
      <c r="B156" s="24">
        <v>8.6620000000000008</v>
      </c>
      <c r="C156" s="24">
        <v>360.16000400000001</v>
      </c>
      <c r="D156" s="24">
        <v>44.994999</v>
      </c>
      <c r="E156" s="24">
        <v>15.278</v>
      </c>
      <c r="F156" s="24">
        <v>11.266</v>
      </c>
      <c r="G156" s="22">
        <v>1.0192220000000001</v>
      </c>
      <c r="H156" s="22">
        <v>0.87131000000000003</v>
      </c>
      <c r="I156" s="22">
        <v>9.9499999999999993</v>
      </c>
      <c r="J156" s="22">
        <v>20.149999999999999</v>
      </c>
      <c r="K156" s="22">
        <f t="shared" si="22"/>
        <v>19.769981417198604</v>
      </c>
      <c r="L156">
        <f t="shared" si="23"/>
        <v>413.35460857788848</v>
      </c>
      <c r="M156" s="21"/>
      <c r="N156" s="23">
        <f t="shared" si="24"/>
        <v>0.90050940846241878</v>
      </c>
      <c r="O156" s="23">
        <f t="shared" si="25"/>
        <v>0.89405224797986527</v>
      </c>
      <c r="P156" s="23">
        <f t="shared" si="26"/>
        <v>1.064718436569732</v>
      </c>
      <c r="Q156" s="23">
        <f t="shared" si="27"/>
        <v>0.83550261596317488</v>
      </c>
      <c r="R156" s="23">
        <f t="shared" si="28"/>
        <v>0.93431746558301565</v>
      </c>
      <c r="S156" s="23">
        <f t="shared" si="29"/>
        <v>0.80436540016168179</v>
      </c>
      <c r="T156" s="23">
        <f t="shared" si="30"/>
        <v>0.84699449991616205</v>
      </c>
      <c r="U156" s="23">
        <f t="shared" si="31"/>
        <v>0.90456179143134896</v>
      </c>
      <c r="V156" s="21"/>
      <c r="W156" s="21"/>
      <c r="X156" s="21"/>
      <c r="Y156" s="21"/>
      <c r="Z156" s="21"/>
      <c r="AA156" s="21"/>
      <c r="AC156" s="21"/>
      <c r="AD156" s="21"/>
      <c r="AE156" s="21"/>
      <c r="AF156" s="21"/>
      <c r="AH156" s="21"/>
    </row>
    <row r="157" spans="2:34">
      <c r="B157" s="24">
        <v>8.8650000000000002</v>
      </c>
      <c r="C157" s="24">
        <v>363.01998900000001</v>
      </c>
      <c r="D157" s="24">
        <v>44.919998</v>
      </c>
      <c r="E157" s="24">
        <v>15.896000000000001</v>
      </c>
      <c r="F157" s="24">
        <v>11.488</v>
      </c>
      <c r="G157" s="22">
        <v>1.0328550000000001</v>
      </c>
      <c r="H157" s="22">
        <v>0.87529999999999997</v>
      </c>
      <c r="I157" s="22">
        <v>9.99</v>
      </c>
      <c r="J157" s="22">
        <v>20.260000000000002</v>
      </c>
      <c r="K157" s="22">
        <f t="shared" si="22"/>
        <v>19.615531705805751</v>
      </c>
      <c r="L157">
        <f t="shared" si="23"/>
        <v>414.73779161430372</v>
      </c>
      <c r="M157" s="21"/>
      <c r="N157" s="23">
        <f t="shared" si="24"/>
        <v>0.92161347333402699</v>
      </c>
      <c r="O157" s="23">
        <f t="shared" si="25"/>
        <v>0.90115180370521086</v>
      </c>
      <c r="P157" s="23">
        <f t="shared" si="26"/>
        <v>1.0629436849476424</v>
      </c>
      <c r="Q157" s="23">
        <f t="shared" si="27"/>
        <v>0.86929896474346302</v>
      </c>
      <c r="R157" s="23">
        <f t="shared" si="28"/>
        <v>0.95272847901807944</v>
      </c>
      <c r="S157" s="23">
        <f t="shared" si="29"/>
        <v>0.80759902991107557</v>
      </c>
      <c r="T157" s="23">
        <f t="shared" si="30"/>
        <v>0.85161829123084098</v>
      </c>
      <c r="U157" s="23">
        <f t="shared" si="31"/>
        <v>0.89749505198049462</v>
      </c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H157" s="21"/>
    </row>
    <row r="158" spans="2:34">
      <c r="B158" s="24">
        <v>8.843</v>
      </c>
      <c r="C158" s="24">
        <v>365.10000600000001</v>
      </c>
      <c r="D158" s="24">
        <v>44.205002</v>
      </c>
      <c r="E158" s="24">
        <v>15.981999999999999</v>
      </c>
      <c r="F158" s="24">
        <v>11.436</v>
      </c>
      <c r="G158" s="22">
        <v>1.031928</v>
      </c>
      <c r="H158" s="22">
        <v>0.87802000000000002</v>
      </c>
      <c r="I158" s="22">
        <v>9.86</v>
      </c>
      <c r="J158" s="22">
        <v>20.18</v>
      </c>
      <c r="K158" s="22">
        <f t="shared" si="22"/>
        <v>19.555627912024871</v>
      </c>
      <c r="L158">
        <f t="shared" si="23"/>
        <v>415.82196988679073</v>
      </c>
      <c r="M158" s="21"/>
      <c r="N158" s="23">
        <f t="shared" si="24"/>
        <v>0.9193263332986803</v>
      </c>
      <c r="O158" s="23">
        <f t="shared" si="25"/>
        <v>0.90631518624084173</v>
      </c>
      <c r="P158" s="23">
        <f t="shared" si="26"/>
        <v>1.0460247063901895</v>
      </c>
      <c r="Q158" s="23">
        <f t="shared" si="27"/>
        <v>0.87400201651547715</v>
      </c>
      <c r="R158" s="23">
        <f t="shared" si="28"/>
        <v>0.94841598938464111</v>
      </c>
      <c r="S158" s="23">
        <f t="shared" si="29"/>
        <v>0.79708973322554599</v>
      </c>
      <c r="T158" s="23">
        <f t="shared" si="30"/>
        <v>0.84825553391107456</v>
      </c>
      <c r="U158" s="23">
        <f t="shared" si="31"/>
        <v>0.89475419543275769</v>
      </c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H158" s="21"/>
    </row>
    <row r="159" spans="2:34">
      <c r="B159" s="24">
        <v>8.8719999999999999</v>
      </c>
      <c r="C159" s="24">
        <v>359.47000100000002</v>
      </c>
      <c r="D159" s="24">
        <v>44.630001</v>
      </c>
      <c r="E159" s="24">
        <v>16.122</v>
      </c>
      <c r="F159" s="24">
        <v>11.472</v>
      </c>
      <c r="G159" s="22">
        <v>1.0357860000000001</v>
      </c>
      <c r="H159" s="22">
        <v>0.87180000000000002</v>
      </c>
      <c r="I159" s="22">
        <v>10.23</v>
      </c>
      <c r="J159" s="22">
        <v>20.540001</v>
      </c>
      <c r="K159" s="22">
        <f t="shared" si="22"/>
        <v>19.830352022522025</v>
      </c>
      <c r="L159">
        <f t="shared" si="23"/>
        <v>412.33081096581788</v>
      </c>
      <c r="M159" s="21"/>
      <c r="N159" s="23">
        <f t="shared" si="24"/>
        <v>0.92234119970891004</v>
      </c>
      <c r="O159" s="23">
        <f t="shared" si="25"/>
        <v>0.89233940167152603</v>
      </c>
      <c r="P159" s="23">
        <f t="shared" si="26"/>
        <v>1.0560814744951004</v>
      </c>
      <c r="Q159" s="23">
        <f t="shared" si="27"/>
        <v>0.88165814730712821</v>
      </c>
      <c r="R159" s="23">
        <f t="shared" si="28"/>
        <v>0.95140155913086766</v>
      </c>
      <c r="S159" s="23">
        <f t="shared" si="29"/>
        <v>0.82700080840743773</v>
      </c>
      <c r="T159" s="23">
        <f t="shared" si="30"/>
        <v>0.8633879838844899</v>
      </c>
      <c r="U159" s="23">
        <f t="shared" si="31"/>
        <v>0.90732400661753232</v>
      </c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H159" s="21"/>
    </row>
    <row r="160" spans="2:34">
      <c r="B160" s="24">
        <v>8.8840000000000003</v>
      </c>
      <c r="C160" s="24">
        <v>373.67001299999998</v>
      </c>
      <c r="D160" s="24">
        <v>44.470001000000003</v>
      </c>
      <c r="E160" s="24">
        <v>16.365998999999999</v>
      </c>
      <c r="F160" s="24">
        <v>11.52</v>
      </c>
      <c r="G160" s="22">
        <v>1.039501</v>
      </c>
      <c r="H160" s="22">
        <v>0.87221000000000004</v>
      </c>
      <c r="I160" s="22">
        <v>10.3</v>
      </c>
      <c r="J160" s="22">
        <v>20.540001</v>
      </c>
      <c r="K160" s="22">
        <f t="shared" si="22"/>
        <v>19.759481712860307</v>
      </c>
      <c r="L160">
        <f t="shared" si="23"/>
        <v>428.4174831749234</v>
      </c>
      <c r="M160" s="21"/>
      <c r="N160" s="23">
        <f t="shared" si="24"/>
        <v>0.92358873063728097</v>
      </c>
      <c r="O160" s="23">
        <f t="shared" si="25"/>
        <v>0.92758915874877501</v>
      </c>
      <c r="P160" s="23">
        <f t="shared" si="26"/>
        <v>1.0522953881824604</v>
      </c>
      <c r="Q160" s="23">
        <f t="shared" si="27"/>
        <v>0.89500163485735718</v>
      </c>
      <c r="R160" s="23">
        <f t="shared" si="28"/>
        <v>0.95538231879250313</v>
      </c>
      <c r="S160" s="23">
        <f t="shared" si="29"/>
        <v>0.83265966046887674</v>
      </c>
      <c r="T160" s="23">
        <f t="shared" si="30"/>
        <v>0.8633879838844899</v>
      </c>
      <c r="U160" s="23">
        <f t="shared" si="31"/>
        <v>0.90408138473974298</v>
      </c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H160" s="21"/>
    </row>
    <row r="161" spans="2:34">
      <c r="B161" s="24">
        <v>8.7799999999999994</v>
      </c>
      <c r="C161" s="24">
        <v>379.48001099999999</v>
      </c>
      <c r="D161" s="24">
        <v>44.125</v>
      </c>
      <c r="E161" s="24">
        <v>15.958</v>
      </c>
      <c r="F161" s="24">
        <v>11.358000000000001</v>
      </c>
      <c r="G161" s="22">
        <v>1.036173</v>
      </c>
      <c r="H161" s="22">
        <v>0.87333000000000005</v>
      </c>
      <c r="I161" s="22">
        <v>10.26</v>
      </c>
      <c r="J161" s="22">
        <v>20.82</v>
      </c>
      <c r="K161" s="22">
        <f t="shared" si="22"/>
        <v>20.09316976991294</v>
      </c>
      <c r="L161">
        <f t="shared" si="23"/>
        <v>434.52075504104971</v>
      </c>
      <c r="M161" s="21"/>
      <c r="N161" s="23">
        <f t="shared" si="24"/>
        <v>0.91277679592473282</v>
      </c>
      <c r="O161" s="23">
        <f t="shared" si="25"/>
        <v>0.94201175347047694</v>
      </c>
      <c r="P161" s="23">
        <f t="shared" si="26"/>
        <v>1.0441316159077905</v>
      </c>
      <c r="Q161" s="23">
        <f t="shared" si="27"/>
        <v>0.87268953695119422</v>
      </c>
      <c r="R161" s="23">
        <f t="shared" si="28"/>
        <v>0.94194725493448361</v>
      </c>
      <c r="S161" s="23">
        <f t="shared" si="29"/>
        <v>0.82942603071948295</v>
      </c>
      <c r="T161" s="23">
        <f t="shared" si="30"/>
        <v>0.87515759246920577</v>
      </c>
      <c r="U161" s="23">
        <f t="shared" si="31"/>
        <v>0.91934905041413728</v>
      </c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H161" s="21"/>
    </row>
    <row r="162" spans="2:34">
      <c r="B162" s="24">
        <v>8.718</v>
      </c>
      <c r="C162" s="24">
        <v>374.89001500000001</v>
      </c>
      <c r="D162" s="24">
        <v>43.945</v>
      </c>
      <c r="E162" s="24">
        <v>15.95</v>
      </c>
      <c r="F162" s="24">
        <v>11.26</v>
      </c>
      <c r="G162" s="22">
        <v>1.0330900000000001</v>
      </c>
      <c r="H162" s="22">
        <v>0.86907999999999996</v>
      </c>
      <c r="I162" s="22">
        <v>10.34</v>
      </c>
      <c r="J162" s="22">
        <v>21.040001</v>
      </c>
      <c r="K162" s="22">
        <f t="shared" si="22"/>
        <v>20.366087175367102</v>
      </c>
      <c r="L162">
        <f t="shared" si="23"/>
        <v>431.36421848391404</v>
      </c>
      <c r="M162" s="21"/>
      <c r="N162" s="23">
        <f t="shared" si="24"/>
        <v>0.9063312194614831</v>
      </c>
      <c r="O162" s="23">
        <f t="shared" si="25"/>
        <v>0.93061766141016433</v>
      </c>
      <c r="P162" s="23">
        <f t="shared" si="26"/>
        <v>1.0398722688060702</v>
      </c>
      <c r="Q162" s="23">
        <f t="shared" si="27"/>
        <v>0.87225204376309984</v>
      </c>
      <c r="R162" s="23">
        <f t="shared" si="28"/>
        <v>0.93381987062531124</v>
      </c>
      <c r="S162" s="23">
        <f t="shared" si="29"/>
        <v>0.8358932902182703</v>
      </c>
      <c r="T162" s="23">
        <f t="shared" si="30"/>
        <v>0.88440521713302989</v>
      </c>
      <c r="U162" s="23">
        <f t="shared" si="31"/>
        <v>0.93183619706242149</v>
      </c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H162" s="21"/>
    </row>
    <row r="163" spans="2:34">
      <c r="B163" s="24">
        <v>8.7810000000000006</v>
      </c>
      <c r="C163" s="24">
        <v>378.73998999999998</v>
      </c>
      <c r="D163" s="24">
        <v>44.424999</v>
      </c>
      <c r="E163" s="24">
        <v>16.044001000000002</v>
      </c>
      <c r="F163" s="24">
        <v>11.337999999999999</v>
      </c>
      <c r="G163" s="22">
        <v>1.0245690000000001</v>
      </c>
      <c r="H163" s="22">
        <v>0.86617</v>
      </c>
      <c r="I163" s="22">
        <v>10.28</v>
      </c>
      <c r="J163" s="22">
        <v>20.889999</v>
      </c>
      <c r="K163" s="22">
        <f t="shared" si="22"/>
        <v>20.389060180427084</v>
      </c>
      <c r="L163">
        <f t="shared" si="23"/>
        <v>437.25826338940391</v>
      </c>
      <c r="M163" s="21"/>
      <c r="N163" s="23">
        <f t="shared" si="24"/>
        <v>0.91288075683543057</v>
      </c>
      <c r="O163" s="23">
        <f t="shared" si="25"/>
        <v>0.94017474372132581</v>
      </c>
      <c r="P163" s="23">
        <f t="shared" si="26"/>
        <v>1.0512305040809511</v>
      </c>
      <c r="Q163" s="23">
        <f t="shared" si="27"/>
        <v>0.87739264340985701</v>
      </c>
      <c r="R163" s="23">
        <f t="shared" si="28"/>
        <v>0.94028860507546874</v>
      </c>
      <c r="S163" s="23">
        <f t="shared" si="29"/>
        <v>0.83104284559417974</v>
      </c>
      <c r="T163" s="23">
        <f t="shared" si="30"/>
        <v>0.87809996308953486</v>
      </c>
      <c r="U163" s="23">
        <f t="shared" si="31"/>
        <v>0.93288731097968292</v>
      </c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H163" s="21"/>
    </row>
    <row r="164" spans="2:34">
      <c r="B164" s="24">
        <v>8.8490000000000002</v>
      </c>
      <c r="C164" s="24">
        <v>374.38000499999998</v>
      </c>
      <c r="D164" s="24">
        <v>44.490001999999997</v>
      </c>
      <c r="E164" s="24">
        <v>16.052</v>
      </c>
      <c r="F164" s="24">
        <v>11.492000000000001</v>
      </c>
      <c r="G164" s="22">
        <v>1.0311090000000001</v>
      </c>
      <c r="H164" s="22">
        <v>0.86680999999999997</v>
      </c>
      <c r="I164" s="22">
        <v>10.15</v>
      </c>
      <c r="J164" s="22">
        <v>20.690000999999999</v>
      </c>
      <c r="K164" s="22">
        <f t="shared" si="22"/>
        <v>20.065774811392391</v>
      </c>
      <c r="L164">
        <f t="shared" si="23"/>
        <v>431.90549832143142</v>
      </c>
      <c r="M164" s="21"/>
      <c r="N164" s="23">
        <f t="shared" si="24"/>
        <v>0.91995009876286582</v>
      </c>
      <c r="O164" s="23">
        <f t="shared" si="25"/>
        <v>0.92935162525421111</v>
      </c>
      <c r="P164" s="23">
        <f t="shared" si="26"/>
        <v>1.0527686726345795</v>
      </c>
      <c r="Q164" s="23">
        <f t="shared" si="27"/>
        <v>0.87783008191130274</v>
      </c>
      <c r="R164" s="23">
        <f t="shared" si="28"/>
        <v>0.95306020898988253</v>
      </c>
      <c r="S164" s="23">
        <f t="shared" si="29"/>
        <v>0.82053354890865027</v>
      </c>
      <c r="T164" s="23">
        <f t="shared" si="30"/>
        <v>0.86969315385905177</v>
      </c>
      <c r="U164" s="23">
        <f t="shared" si="31"/>
        <v>0.91809561308242693</v>
      </c>
      <c r="V164" s="21"/>
      <c r="W164" s="21"/>
      <c r="X164" s="21"/>
      <c r="Y164" s="21"/>
      <c r="Z164" s="21"/>
      <c r="AA164" s="21"/>
      <c r="AB164" s="21"/>
      <c r="AC164" s="21"/>
      <c r="AE164" s="21"/>
      <c r="AF164" s="21"/>
      <c r="AH164" s="21"/>
    </row>
    <row r="165" spans="2:34">
      <c r="B165" s="24">
        <v>8.9030000000000005</v>
      </c>
      <c r="C165" s="24">
        <v>371.790009</v>
      </c>
      <c r="D165" s="24">
        <v>45.305</v>
      </c>
      <c r="E165" s="24">
        <v>16.097999999999999</v>
      </c>
      <c r="F165" s="24">
        <v>11.576000000000001</v>
      </c>
      <c r="G165" s="22">
        <v>1.041623</v>
      </c>
      <c r="H165" s="22">
        <v>0.86262000000000005</v>
      </c>
      <c r="I165" s="22">
        <v>10.17</v>
      </c>
      <c r="J165" s="22">
        <v>20.809999000000001</v>
      </c>
      <c r="K165" s="22">
        <f t="shared" si="22"/>
        <v>19.978436536059593</v>
      </c>
      <c r="L165">
        <f t="shared" si="23"/>
        <v>431.00091465535229</v>
      </c>
      <c r="M165" s="21"/>
      <c r="N165" s="23">
        <f t="shared" si="24"/>
        <v>0.92556398794053507</v>
      </c>
      <c r="O165" s="23">
        <f t="shared" si="25"/>
        <v>0.92292228351625716</v>
      </c>
      <c r="P165" s="23">
        <f t="shared" si="26"/>
        <v>1.0720540024635115</v>
      </c>
      <c r="Q165" s="23">
        <f t="shared" si="27"/>
        <v>0.88034566774284517</v>
      </c>
      <c r="R165" s="23">
        <f t="shared" si="28"/>
        <v>0.96002653839774454</v>
      </c>
      <c r="S165" s="23">
        <f t="shared" si="29"/>
        <v>0.82215036378334705</v>
      </c>
      <c r="T165" s="23">
        <f t="shared" si="30"/>
        <v>0.87473720576976843</v>
      </c>
      <c r="U165" s="23">
        <f t="shared" si="31"/>
        <v>0.91409951085408425</v>
      </c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H165" s="21"/>
    </row>
    <row r="166" spans="2:34">
      <c r="B166" s="24">
        <v>8.9510000000000005</v>
      </c>
      <c r="C166" s="24">
        <v>373.26998900000001</v>
      </c>
      <c r="D166" s="24">
        <v>45.080002</v>
      </c>
      <c r="E166" s="24">
        <v>16.277999999999999</v>
      </c>
      <c r="F166" s="24">
        <v>11.592000000000001</v>
      </c>
      <c r="G166" s="22">
        <v>1.04081</v>
      </c>
      <c r="H166" s="22">
        <v>0.85916999999999999</v>
      </c>
      <c r="I166" s="22">
        <v>10.130000000000001</v>
      </c>
      <c r="J166" s="22">
        <v>20.74</v>
      </c>
      <c r="K166" s="22">
        <f t="shared" si="22"/>
        <v>19.926787790278723</v>
      </c>
      <c r="L166">
        <f t="shared" si="23"/>
        <v>434.45416972194096</v>
      </c>
      <c r="M166" s="21"/>
      <c r="N166" s="23">
        <f t="shared" si="24"/>
        <v>0.9305541116540188</v>
      </c>
      <c r="O166" s="23">
        <f t="shared" si="25"/>
        <v>0.92659614910729948</v>
      </c>
      <c r="P166" s="23">
        <f t="shared" si="26"/>
        <v>1.0667298659124402</v>
      </c>
      <c r="Q166" s="23">
        <f t="shared" si="27"/>
        <v>0.89018926447496793</v>
      </c>
      <c r="R166" s="23">
        <f t="shared" si="28"/>
        <v>0.96135345828495633</v>
      </c>
      <c r="S166" s="23">
        <f t="shared" si="29"/>
        <v>0.81891673403395338</v>
      </c>
      <c r="T166" s="23">
        <f t="shared" si="30"/>
        <v>0.87179483514943923</v>
      </c>
      <c r="U166" s="23">
        <f t="shared" si="31"/>
        <v>0.91173635830361788</v>
      </c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H166" s="21"/>
    </row>
    <row r="167" spans="2:34">
      <c r="B167" s="24">
        <v>8.9629999999999992</v>
      </c>
      <c r="C167" s="24">
        <v>369.63000499999998</v>
      </c>
      <c r="D167" s="24">
        <v>44.98</v>
      </c>
      <c r="E167" s="24">
        <v>16.294001000000002</v>
      </c>
      <c r="F167" s="24">
        <v>11.582000000000001</v>
      </c>
      <c r="G167" s="22">
        <v>1.036753</v>
      </c>
      <c r="H167" s="22">
        <v>0.85997000000000001</v>
      </c>
      <c r="I167" s="22">
        <v>10.210000000000001</v>
      </c>
      <c r="J167" s="22">
        <v>20.719999000000001</v>
      </c>
      <c r="K167" s="22">
        <f t="shared" si="22"/>
        <v>19.985472913992052</v>
      </c>
      <c r="L167">
        <f t="shared" si="23"/>
        <v>429.81732502296592</v>
      </c>
      <c r="M167" s="21"/>
      <c r="N167" s="23">
        <f t="shared" si="24"/>
        <v>0.93180164258238962</v>
      </c>
      <c r="O167" s="23">
        <f t="shared" si="25"/>
        <v>0.91756034323860902</v>
      </c>
      <c r="P167" s="23">
        <f t="shared" si="26"/>
        <v>1.0643635146409611</v>
      </c>
      <c r="Q167" s="23">
        <f t="shared" si="27"/>
        <v>0.89106430553780525</v>
      </c>
      <c r="R167" s="23">
        <f t="shared" si="28"/>
        <v>0.96052413335544895</v>
      </c>
      <c r="S167" s="23">
        <f t="shared" si="29"/>
        <v>0.82538399353274072</v>
      </c>
      <c r="T167" s="23">
        <f t="shared" si="30"/>
        <v>0.87095410378503124</v>
      </c>
      <c r="U167" s="23">
        <f t="shared" si="31"/>
        <v>0.91442145544742792</v>
      </c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H167" s="21"/>
    </row>
    <row r="168" spans="2:34">
      <c r="B168" s="24">
        <v>8.9559999999999995</v>
      </c>
      <c r="C168" s="24">
        <v>373.459991</v>
      </c>
      <c r="D168" s="24">
        <v>45.125</v>
      </c>
      <c r="E168" s="24">
        <v>16.134001000000001</v>
      </c>
      <c r="F168" s="24">
        <v>11.59</v>
      </c>
      <c r="G168" s="22">
        <v>1.034554</v>
      </c>
      <c r="H168" s="22">
        <v>0.86478999999999995</v>
      </c>
      <c r="I168" s="22">
        <v>10.27</v>
      </c>
      <c r="J168" s="22">
        <v>20.91</v>
      </c>
      <c r="K168" s="22">
        <f t="shared" si="22"/>
        <v>20.211608093922599</v>
      </c>
      <c r="L168">
        <f t="shared" si="23"/>
        <v>431.85049665236647</v>
      </c>
      <c r="M168" s="21"/>
      <c r="N168" s="23">
        <f t="shared" si="24"/>
        <v>0.93107391620750657</v>
      </c>
      <c r="O168" s="23">
        <f t="shared" si="25"/>
        <v>0.92706780535267386</v>
      </c>
      <c r="P168" s="23">
        <f t="shared" si="26"/>
        <v>1.0677946553617914</v>
      </c>
      <c r="Q168" s="23">
        <f t="shared" si="27"/>
        <v>0.88231444177591833</v>
      </c>
      <c r="R168" s="23">
        <f t="shared" si="28"/>
        <v>0.96118759329905479</v>
      </c>
      <c r="S168" s="23">
        <f t="shared" si="29"/>
        <v>0.83023443815683118</v>
      </c>
      <c r="T168" s="23">
        <f t="shared" si="30"/>
        <v>0.87894069445394285</v>
      </c>
      <c r="U168" s="23">
        <f t="shared" si="31"/>
        <v>0.92476811380521873</v>
      </c>
      <c r="V168" s="21"/>
      <c r="W168" s="21"/>
      <c r="X168" s="21"/>
      <c r="Y168" s="21"/>
      <c r="Z168" s="21"/>
      <c r="AA168" s="21"/>
      <c r="AC168" s="21"/>
      <c r="AD168" s="21"/>
      <c r="AE168" s="21"/>
      <c r="AF168" s="21"/>
      <c r="AH168" s="21"/>
    </row>
    <row r="169" spans="2:34">
      <c r="B169" s="24">
        <v>8.907</v>
      </c>
      <c r="C169" s="24">
        <v>370.86999500000002</v>
      </c>
      <c r="D169" s="24">
        <v>44.715000000000003</v>
      </c>
      <c r="E169" s="24">
        <v>15.928000000000001</v>
      </c>
      <c r="F169" s="24">
        <v>11.51</v>
      </c>
      <c r="G169" s="22">
        <v>1.0324500000000001</v>
      </c>
      <c r="H169" s="22">
        <v>0.86411000000000004</v>
      </c>
      <c r="I169" s="22">
        <v>10.27</v>
      </c>
      <c r="J169" s="22">
        <v>20.98</v>
      </c>
      <c r="K169" s="22">
        <f t="shared" si="22"/>
        <v>20.320596639062423</v>
      </c>
      <c r="L169">
        <f t="shared" si="23"/>
        <v>429.19303676615243</v>
      </c>
      <c r="M169" s="21"/>
      <c r="N169" s="23">
        <f t="shared" si="24"/>
        <v>0.92597983158332531</v>
      </c>
      <c r="O169" s="23">
        <f t="shared" si="25"/>
        <v>0.9206384636147199</v>
      </c>
      <c r="P169" s="23">
        <f t="shared" si="26"/>
        <v>1.0580928091856512</v>
      </c>
      <c r="Q169" s="23">
        <f t="shared" si="27"/>
        <v>0.87104893749584045</v>
      </c>
      <c r="R169" s="23">
        <f t="shared" si="28"/>
        <v>0.95455299386299575</v>
      </c>
      <c r="S169" s="23">
        <f t="shared" si="29"/>
        <v>0.83023443815683118</v>
      </c>
      <c r="T169" s="23">
        <f t="shared" si="30"/>
        <v>0.88188310710873852</v>
      </c>
      <c r="U169" s="23">
        <f t="shared" si="31"/>
        <v>0.92975480911649555</v>
      </c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H169" s="21"/>
    </row>
    <row r="170" spans="2:34">
      <c r="B170" s="24">
        <v>8.8369999999999997</v>
      </c>
      <c r="C170" s="24">
        <v>371.790009</v>
      </c>
      <c r="D170" s="24">
        <v>44.580002</v>
      </c>
      <c r="E170" s="24">
        <v>15.682</v>
      </c>
      <c r="F170" s="24">
        <v>11.417999999999999</v>
      </c>
      <c r="G170" s="22">
        <v>1.042535</v>
      </c>
      <c r="H170" s="22">
        <v>0.86302000000000001</v>
      </c>
      <c r="I170" s="22">
        <v>10.19</v>
      </c>
      <c r="J170" s="22">
        <v>20.93</v>
      </c>
      <c r="K170" s="22">
        <f t="shared" si="22"/>
        <v>20.076064592555646</v>
      </c>
      <c r="L170">
        <f t="shared" si="23"/>
        <v>430.80115061064635</v>
      </c>
      <c r="M170" s="21"/>
      <c r="N170" s="23">
        <f t="shared" si="24"/>
        <v>0.91870256783449489</v>
      </c>
      <c r="O170" s="23">
        <f t="shared" si="25"/>
        <v>0.92292228351625716</v>
      </c>
      <c r="P170" s="23">
        <f t="shared" si="26"/>
        <v>1.05489834618544</v>
      </c>
      <c r="Q170" s="23">
        <f t="shared" si="27"/>
        <v>0.85759602196193929</v>
      </c>
      <c r="R170" s="23">
        <f t="shared" si="28"/>
        <v>0.94692320451152778</v>
      </c>
      <c r="S170" s="23">
        <f t="shared" si="29"/>
        <v>0.82376717865804383</v>
      </c>
      <c r="T170" s="23">
        <f t="shared" si="30"/>
        <v>0.87978138378388449</v>
      </c>
      <c r="U170" s="23">
        <f t="shared" si="31"/>
        <v>0.91856641488471746</v>
      </c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H170" s="21"/>
    </row>
    <row r="171" spans="2:34">
      <c r="B171" s="24">
        <v>8.8770000000000007</v>
      </c>
      <c r="C171" s="24">
        <v>370.67999300000002</v>
      </c>
      <c r="D171" s="24">
        <v>44.775002000000001</v>
      </c>
      <c r="E171" s="24">
        <v>15.821999999999999</v>
      </c>
      <c r="F171" s="24">
        <v>11.456</v>
      </c>
      <c r="G171" s="22">
        <v>1.0528420000000001</v>
      </c>
      <c r="H171" s="22">
        <v>0.85875000000000001</v>
      </c>
      <c r="I171" s="22">
        <v>10.18</v>
      </c>
      <c r="J171" s="22">
        <v>20.799999</v>
      </c>
      <c r="K171" s="22">
        <f t="shared" si="22"/>
        <v>19.756049815641852</v>
      </c>
      <c r="L171">
        <f t="shared" si="23"/>
        <v>431.65064687045128</v>
      </c>
      <c r="M171" s="21"/>
      <c r="N171" s="23">
        <f t="shared" si="24"/>
        <v>0.92286100426239814</v>
      </c>
      <c r="O171" s="23">
        <f t="shared" si="25"/>
        <v>0.92016680736934553</v>
      </c>
      <c r="P171" s="23">
        <f t="shared" si="26"/>
        <v>1.0595126388789702</v>
      </c>
      <c r="Q171" s="23">
        <f t="shared" si="27"/>
        <v>0.86525215275359024</v>
      </c>
      <c r="R171" s="23">
        <f t="shared" si="28"/>
        <v>0.95007463924365587</v>
      </c>
      <c r="S171" s="23">
        <f t="shared" si="29"/>
        <v>0.82295877122069538</v>
      </c>
      <c r="T171" s="23">
        <f t="shared" si="30"/>
        <v>0.87431686110479756</v>
      </c>
      <c r="U171" s="23">
        <f t="shared" si="31"/>
        <v>0.90392436066215642</v>
      </c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H171" s="21"/>
    </row>
    <row r="172" spans="2:34">
      <c r="B172" s="24">
        <v>8.9969999999999999</v>
      </c>
      <c r="C172" s="24">
        <v>368.10000600000001</v>
      </c>
      <c r="D172" s="24">
        <v>44.57</v>
      </c>
      <c r="E172" s="24">
        <v>16.204000000000001</v>
      </c>
      <c r="F172" s="24">
        <v>11.624000000000001</v>
      </c>
      <c r="G172" s="22">
        <v>1.054419</v>
      </c>
      <c r="H172" s="22">
        <v>0.85736999999999997</v>
      </c>
      <c r="I172" s="22">
        <v>10.36</v>
      </c>
      <c r="J172" s="22">
        <v>20.799999</v>
      </c>
      <c r="K172" s="22">
        <f t="shared" si="22"/>
        <v>19.726502462493563</v>
      </c>
      <c r="L172">
        <f t="shared" si="23"/>
        <v>429.33623289828199</v>
      </c>
      <c r="M172" s="21"/>
      <c r="N172" s="23">
        <f t="shared" si="24"/>
        <v>0.93533631354610736</v>
      </c>
      <c r="O172" s="23">
        <f t="shared" si="25"/>
        <v>0.91376231172437983</v>
      </c>
      <c r="P172" s="23">
        <f t="shared" si="26"/>
        <v>1.0546616684648211</v>
      </c>
      <c r="Q172" s="23">
        <f t="shared" si="27"/>
        <v>0.88614245248509527</v>
      </c>
      <c r="R172" s="23">
        <f t="shared" si="28"/>
        <v>0.9640072980593799</v>
      </c>
      <c r="S172" s="23">
        <f t="shared" si="29"/>
        <v>0.83751010509296697</v>
      </c>
      <c r="T172" s="23">
        <f t="shared" si="30"/>
        <v>0.87431686110479756</v>
      </c>
      <c r="U172" s="23">
        <f t="shared" si="31"/>
        <v>0.90257244200670339</v>
      </c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H172" s="21"/>
    </row>
    <row r="173" spans="2:34">
      <c r="B173" s="24">
        <v>8.9760000000000009</v>
      </c>
      <c r="C173" s="24">
        <v>368.07998700000002</v>
      </c>
      <c r="D173" s="24">
        <v>44.404998999999997</v>
      </c>
      <c r="E173" s="24">
        <v>16.044001000000002</v>
      </c>
      <c r="F173" s="24">
        <v>11.584</v>
      </c>
      <c r="G173" s="22">
        <v>1.0496920000000001</v>
      </c>
      <c r="H173" s="22">
        <v>0.86087000000000002</v>
      </c>
      <c r="I173" s="22">
        <v>10.41</v>
      </c>
      <c r="J173" s="22">
        <v>21.25</v>
      </c>
      <c r="K173" s="22">
        <f t="shared" si="22"/>
        <v>20.244033487918358</v>
      </c>
      <c r="L173">
        <f t="shared" si="23"/>
        <v>427.56744572351226</v>
      </c>
      <c r="M173" s="21"/>
      <c r="N173" s="23">
        <f t="shared" si="24"/>
        <v>0.93315313442145831</v>
      </c>
      <c r="O173" s="23">
        <f t="shared" si="25"/>
        <v>0.91371261705602824</v>
      </c>
      <c r="P173" s="23">
        <f t="shared" si="26"/>
        <v>1.0507572432918715</v>
      </c>
      <c r="Q173" s="23">
        <f t="shared" si="27"/>
        <v>0.8773926434098569</v>
      </c>
      <c r="R173" s="23">
        <f t="shared" si="28"/>
        <v>0.96068999834135027</v>
      </c>
      <c r="S173" s="23">
        <f t="shared" si="29"/>
        <v>0.8415521422797092</v>
      </c>
      <c r="T173" s="23">
        <f t="shared" si="30"/>
        <v>0.89323241306295009</v>
      </c>
      <c r="U173" s="23">
        <f t="shared" si="31"/>
        <v>0.92625171522404215</v>
      </c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H173" s="21"/>
    </row>
    <row r="174" spans="2:34">
      <c r="B174" s="24">
        <v>8.8930000000000007</v>
      </c>
      <c r="C174" s="24">
        <v>375.47000100000002</v>
      </c>
      <c r="D174" s="24">
        <v>43.959999000000003</v>
      </c>
      <c r="E174" s="24">
        <v>15.968</v>
      </c>
      <c r="F174" s="24">
        <v>11.452</v>
      </c>
      <c r="G174" s="22">
        <v>1.0469010000000001</v>
      </c>
      <c r="H174" s="22">
        <v>0.86260000000000003</v>
      </c>
      <c r="I174" s="22">
        <v>10.4</v>
      </c>
      <c r="J174" s="22">
        <v>21.110001</v>
      </c>
      <c r="K174" s="22">
        <f t="shared" si="22"/>
        <v>20.16427627827273</v>
      </c>
      <c r="L174">
        <f t="shared" si="23"/>
        <v>435.27707048458149</v>
      </c>
      <c r="M174" s="21"/>
      <c r="N174" s="23">
        <f t="shared" si="24"/>
        <v>0.92452437883355931</v>
      </c>
      <c r="O174" s="23">
        <f t="shared" si="25"/>
        <v>0.93205740425039607</v>
      </c>
      <c r="P174" s="23">
        <f t="shared" si="26"/>
        <v>1.0402271907348413</v>
      </c>
      <c r="Q174" s="23">
        <f t="shared" si="27"/>
        <v>0.87323640343631204</v>
      </c>
      <c r="R174" s="23">
        <f t="shared" si="28"/>
        <v>0.9497429092718529</v>
      </c>
      <c r="S174" s="23">
        <f t="shared" si="29"/>
        <v>0.84074373484236076</v>
      </c>
      <c r="T174" s="23">
        <f t="shared" si="30"/>
        <v>0.88734762978782544</v>
      </c>
      <c r="U174" s="23">
        <f t="shared" si="31"/>
        <v>0.92260247939957885</v>
      </c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H174" s="21"/>
    </row>
    <row r="175" spans="2:34">
      <c r="B175" s="24">
        <v>8.7829999999999995</v>
      </c>
      <c r="C175" s="24">
        <v>372.64999399999999</v>
      </c>
      <c r="D175" s="24">
        <v>43.334999000000003</v>
      </c>
      <c r="E175" s="24">
        <v>15.662000000000001</v>
      </c>
      <c r="F175" s="24">
        <v>11.29</v>
      </c>
      <c r="G175" s="22">
        <v>1.051326</v>
      </c>
      <c r="H175" s="22">
        <v>0.86072000000000004</v>
      </c>
      <c r="I175" s="22">
        <v>10.3</v>
      </c>
      <c r="J175" s="22">
        <v>21.16</v>
      </c>
      <c r="K175" s="22">
        <f t="shared" si="22"/>
        <v>20.126963472795307</v>
      </c>
      <c r="L175">
        <f t="shared" si="23"/>
        <v>432.95147550887629</v>
      </c>
      <c r="M175" s="21"/>
      <c r="N175" s="23">
        <f t="shared" si="24"/>
        <v>0.91308867865682564</v>
      </c>
      <c r="O175" s="23">
        <f t="shared" si="25"/>
        <v>0.92505708891924399</v>
      </c>
      <c r="P175" s="23">
        <f t="shared" si="26"/>
        <v>1.0254377910760908</v>
      </c>
      <c r="Q175" s="23">
        <f t="shared" si="27"/>
        <v>0.85650228899170344</v>
      </c>
      <c r="R175" s="23">
        <f t="shared" si="28"/>
        <v>0.93630784541383327</v>
      </c>
      <c r="S175" s="23">
        <f t="shared" si="29"/>
        <v>0.83265966046887652</v>
      </c>
      <c r="T175" s="23">
        <f t="shared" si="30"/>
        <v>0.8894493110782129</v>
      </c>
      <c r="U175" s="23">
        <f t="shared" si="31"/>
        <v>0.92089525785729531</v>
      </c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H175" s="21"/>
    </row>
    <row r="176" spans="2:34">
      <c r="B176" s="24">
        <v>8.74</v>
      </c>
      <c r="C176" s="24">
        <v>371.459991</v>
      </c>
      <c r="D176" s="24">
        <v>43.299999</v>
      </c>
      <c r="E176" s="24">
        <v>15.438000000000001</v>
      </c>
      <c r="F176" s="24">
        <v>11.256</v>
      </c>
      <c r="G176" s="22">
        <v>1.055966</v>
      </c>
      <c r="H176" s="22">
        <v>0.86277000000000004</v>
      </c>
      <c r="I176" s="22">
        <v>10.210000000000001</v>
      </c>
      <c r="J176" s="22">
        <v>20.959999</v>
      </c>
      <c r="K176" s="22">
        <f t="shared" si="22"/>
        <v>19.84912298312635</v>
      </c>
      <c r="L176">
        <f t="shared" si="23"/>
        <v>430.54347160888761</v>
      </c>
      <c r="M176" s="21"/>
      <c r="N176" s="23">
        <f t="shared" si="24"/>
        <v>0.9086183594968299</v>
      </c>
      <c r="O176" s="23">
        <f t="shared" si="25"/>
        <v>0.92210305503031509</v>
      </c>
      <c r="P176" s="23">
        <f t="shared" si="26"/>
        <v>1.0246095846952006</v>
      </c>
      <c r="Q176" s="23">
        <f t="shared" si="27"/>
        <v>0.84425247972506179</v>
      </c>
      <c r="R176" s="23">
        <f t="shared" si="28"/>
        <v>0.93348814065350827</v>
      </c>
      <c r="S176" s="23">
        <f t="shared" si="29"/>
        <v>0.82538399353274072</v>
      </c>
      <c r="T176" s="23">
        <f t="shared" si="30"/>
        <v>0.88104237574433042</v>
      </c>
      <c r="U176" s="23">
        <f t="shared" si="31"/>
        <v>0.90818285890438177</v>
      </c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H176" s="21"/>
    </row>
    <row r="177" spans="2:34">
      <c r="B177" s="24">
        <v>8.7530000000000001</v>
      </c>
      <c r="C177" s="24">
        <v>366.54998799999998</v>
      </c>
      <c r="D177" s="24">
        <v>43.215000000000003</v>
      </c>
      <c r="E177" s="24">
        <v>15.625999999999999</v>
      </c>
      <c r="F177" s="24">
        <v>11.276</v>
      </c>
      <c r="G177" s="22">
        <v>1.052222</v>
      </c>
      <c r="H177" s="22">
        <v>0.85899999999999999</v>
      </c>
      <c r="I177" s="22">
        <v>10.19</v>
      </c>
      <c r="J177" s="22">
        <v>20.809999000000001</v>
      </c>
      <c r="K177" s="22">
        <f t="shared" si="22"/>
        <v>19.777194356324046</v>
      </c>
      <c r="L177">
        <f t="shared" si="23"/>
        <v>426.71709895227008</v>
      </c>
      <c r="M177" s="21"/>
      <c r="N177" s="23">
        <f t="shared" si="24"/>
        <v>0.90996985133589836</v>
      </c>
      <c r="O177" s="23">
        <f t="shared" si="25"/>
        <v>0.90991458554179883</v>
      </c>
      <c r="P177" s="23">
        <f t="shared" si="26"/>
        <v>1.02259825000465</v>
      </c>
      <c r="Q177" s="23">
        <f t="shared" si="27"/>
        <v>0.85453356964527882</v>
      </c>
      <c r="R177" s="23">
        <f t="shared" si="28"/>
        <v>0.93514679051252303</v>
      </c>
      <c r="S177" s="23">
        <f t="shared" si="29"/>
        <v>0.82376717865804372</v>
      </c>
      <c r="T177" s="23">
        <f t="shared" si="30"/>
        <v>0.87473720576976843</v>
      </c>
      <c r="U177" s="23">
        <f t="shared" si="31"/>
        <v>0.90489181445965161</v>
      </c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H177" s="21"/>
    </row>
    <row r="178" spans="2:34">
      <c r="B178" s="24">
        <v>8.8190000000000008</v>
      </c>
      <c r="C178" s="24">
        <v>362.27999899999998</v>
      </c>
      <c r="D178" s="24">
        <v>43.209999000000003</v>
      </c>
      <c r="E178" s="24">
        <v>15.752000000000001</v>
      </c>
      <c r="F178" s="24">
        <v>11.327999999999999</v>
      </c>
      <c r="G178" s="22">
        <v>1.0541739999999999</v>
      </c>
      <c r="H178" s="22">
        <v>0.85899000000000003</v>
      </c>
      <c r="I178" s="22">
        <v>10.25</v>
      </c>
      <c r="J178" s="22">
        <v>20.889999</v>
      </c>
      <c r="K178" s="22">
        <f t="shared" si="22"/>
        <v>19.816461988248619</v>
      </c>
      <c r="L178">
        <f t="shared" si="23"/>
        <v>421.75112515861645</v>
      </c>
      <c r="M178" s="21"/>
      <c r="N178" s="23">
        <f t="shared" si="24"/>
        <v>0.91683127144193854</v>
      </c>
      <c r="O178" s="23">
        <f t="shared" si="25"/>
        <v>0.89931487090968965</v>
      </c>
      <c r="P178" s="23">
        <f t="shared" si="26"/>
        <v>1.0224799111443406</v>
      </c>
      <c r="Q178" s="23">
        <f t="shared" si="27"/>
        <v>0.86142408735776477</v>
      </c>
      <c r="R178" s="23">
        <f t="shared" si="28"/>
        <v>0.93945928014596136</v>
      </c>
      <c r="S178" s="23">
        <f t="shared" si="29"/>
        <v>0.82861762328213429</v>
      </c>
      <c r="T178" s="23">
        <f t="shared" si="30"/>
        <v>0.87809996308953475</v>
      </c>
      <c r="U178" s="23">
        <f t="shared" si="31"/>
        <v>0.90668847773056693</v>
      </c>
      <c r="V178" s="21"/>
      <c r="X178" s="21"/>
      <c r="Y178" s="21"/>
      <c r="Z178" s="21"/>
      <c r="AA178" s="21"/>
      <c r="AC178" s="21"/>
      <c r="AD178" s="21"/>
      <c r="AE178" s="21"/>
      <c r="AF178" s="21"/>
      <c r="AH178" s="21"/>
    </row>
    <row r="179" spans="2:34">
      <c r="B179" s="24">
        <v>8.7739999999999991</v>
      </c>
      <c r="C179" s="24">
        <v>361.10998499999999</v>
      </c>
      <c r="D179" s="24">
        <v>43.084999000000003</v>
      </c>
      <c r="E179" s="24">
        <v>15.706</v>
      </c>
      <c r="F179" s="24">
        <v>11.273999999999999</v>
      </c>
      <c r="G179" s="22">
        <v>1.062665</v>
      </c>
      <c r="H179" s="22">
        <v>0.86</v>
      </c>
      <c r="I179" s="22">
        <v>10.220000000000001</v>
      </c>
      <c r="J179" s="22">
        <v>20.91</v>
      </c>
      <c r="K179" s="22">
        <f t="shared" si="22"/>
        <v>19.676944286299069</v>
      </c>
      <c r="L179">
        <f t="shared" si="23"/>
        <v>419.89533139534882</v>
      </c>
      <c r="M179" s="21"/>
      <c r="N179" s="23">
        <f t="shared" si="24"/>
        <v>0.91215303046054741</v>
      </c>
      <c r="O179" s="23">
        <f t="shared" si="25"/>
        <v>0.89641045721785761</v>
      </c>
      <c r="P179" s="23">
        <f t="shared" si="26"/>
        <v>1.0195220312125906</v>
      </c>
      <c r="Q179" s="23">
        <f t="shared" si="27"/>
        <v>0.85890850152622222</v>
      </c>
      <c r="R179" s="23">
        <f t="shared" si="28"/>
        <v>0.93498092552662149</v>
      </c>
      <c r="S179" s="23">
        <f t="shared" si="29"/>
        <v>0.82619240097008906</v>
      </c>
      <c r="T179" s="23">
        <f t="shared" si="30"/>
        <v>0.87894069445394285</v>
      </c>
      <c r="U179" s="23">
        <f t="shared" si="31"/>
        <v>0.90030494201808098</v>
      </c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H179" s="21"/>
    </row>
    <row r="180" spans="2:34">
      <c r="B180" s="24">
        <v>8.8480000000000008</v>
      </c>
      <c r="C180" s="24">
        <v>362.75</v>
      </c>
      <c r="D180" s="24">
        <v>43.139999000000003</v>
      </c>
      <c r="E180" s="24">
        <v>16.149999999999999</v>
      </c>
      <c r="F180" s="24">
        <v>11.398</v>
      </c>
      <c r="G180" s="22">
        <v>1.0676349999999999</v>
      </c>
      <c r="H180" s="22">
        <v>0.85953999999999997</v>
      </c>
      <c r="I180" s="22">
        <v>10.3</v>
      </c>
      <c r="J180" s="22">
        <v>21.34</v>
      </c>
      <c r="K180" s="22">
        <f t="shared" si="22"/>
        <v>19.98810454883926</v>
      </c>
      <c r="L180">
        <f t="shared" si="23"/>
        <v>422.02806152127886</v>
      </c>
      <c r="M180" s="21"/>
      <c r="N180" s="23">
        <f t="shared" si="24"/>
        <v>0.91984613785216829</v>
      </c>
      <c r="O180" s="23">
        <f t="shared" si="25"/>
        <v>0.90048158971781922</v>
      </c>
      <c r="P180" s="23">
        <f t="shared" si="26"/>
        <v>1.0208234983825606</v>
      </c>
      <c r="Q180" s="23">
        <f t="shared" si="27"/>
        <v>0.88318937346545834</v>
      </c>
      <c r="R180" s="23">
        <f t="shared" si="28"/>
        <v>0.94526455465251302</v>
      </c>
      <c r="S180" s="23">
        <f t="shared" si="29"/>
        <v>0.83265966046887641</v>
      </c>
      <c r="T180" s="23">
        <f t="shared" si="30"/>
        <v>0.89701551504768728</v>
      </c>
      <c r="U180" s="23">
        <f t="shared" si="31"/>
        <v>0.91454186407511184</v>
      </c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H180" s="21"/>
    </row>
    <row r="181" spans="2:34">
      <c r="B181" s="24">
        <v>8.8469999999999995</v>
      </c>
      <c r="C181" s="24">
        <v>360.51001000000002</v>
      </c>
      <c r="D181" s="24">
        <v>43.25</v>
      </c>
      <c r="E181" s="24">
        <v>16.049999</v>
      </c>
      <c r="F181" s="24">
        <v>11.368</v>
      </c>
      <c r="G181" s="22">
        <v>1.0640559999999999</v>
      </c>
      <c r="H181" s="22">
        <v>0.87250000000000005</v>
      </c>
      <c r="I181" s="22">
        <v>10.38</v>
      </c>
      <c r="J181" s="22">
        <v>21.34</v>
      </c>
      <c r="K181" s="22">
        <f t="shared" si="22"/>
        <v>20.055335433473427</v>
      </c>
      <c r="L181">
        <f t="shared" si="23"/>
        <v>413.19198853868193</v>
      </c>
      <c r="M181" s="21"/>
      <c r="N181" s="23">
        <f t="shared" si="24"/>
        <v>0.91974217694147054</v>
      </c>
      <c r="O181" s="23">
        <f t="shared" si="25"/>
        <v>0.89492109418052912</v>
      </c>
      <c r="P181" s="23">
        <f t="shared" si="26"/>
        <v>1.02342645638554</v>
      </c>
      <c r="Q181" s="23">
        <f t="shared" si="27"/>
        <v>0.87772065392763055</v>
      </c>
      <c r="R181" s="23">
        <f t="shared" si="28"/>
        <v>0.94277657986399088</v>
      </c>
      <c r="S181" s="23">
        <f t="shared" si="29"/>
        <v>0.83912691996766375</v>
      </c>
      <c r="T181" s="23">
        <f t="shared" si="30"/>
        <v>0.89701551504768728</v>
      </c>
      <c r="U181" s="23">
        <f t="shared" si="31"/>
        <v>0.9176179665843075</v>
      </c>
      <c r="V181" s="21"/>
      <c r="W181" s="21"/>
      <c r="X181" s="21"/>
      <c r="Y181" s="21"/>
      <c r="Z181" s="21"/>
      <c r="AA181" s="21"/>
      <c r="AB181" s="21"/>
      <c r="AC181" s="21"/>
      <c r="AE181" s="21"/>
      <c r="AF181" s="21"/>
      <c r="AH181" s="21"/>
    </row>
    <row r="182" spans="2:34">
      <c r="B182" s="24">
        <v>8.5549999999999997</v>
      </c>
      <c r="C182" s="24">
        <v>365.14999399999999</v>
      </c>
      <c r="D182" s="24">
        <v>41.77</v>
      </c>
      <c r="E182" s="24">
        <v>15.288</v>
      </c>
      <c r="F182" s="24">
        <v>10.976000000000001</v>
      </c>
      <c r="G182" s="22">
        <v>1.0585039999999999</v>
      </c>
      <c r="H182" s="22">
        <v>0.87039</v>
      </c>
      <c r="I182" s="22">
        <v>10.35</v>
      </c>
      <c r="J182" s="22">
        <v>21.219999000000001</v>
      </c>
      <c r="K182" s="22">
        <f t="shared" si="22"/>
        <v>20.047159954048357</v>
      </c>
      <c r="L182">
        <f t="shared" si="23"/>
        <v>419.52457404152159</v>
      </c>
      <c r="M182" s="21"/>
      <c r="N182" s="23">
        <f t="shared" si="24"/>
        <v>0.88938559101777781</v>
      </c>
      <c r="O182" s="23">
        <f t="shared" si="25"/>
        <v>0.9064392752103988</v>
      </c>
      <c r="P182" s="23">
        <f t="shared" si="26"/>
        <v>0.98840515799361872</v>
      </c>
      <c r="Q182" s="23">
        <f t="shared" si="27"/>
        <v>0.8360494824482928</v>
      </c>
      <c r="R182" s="23">
        <f t="shared" si="28"/>
        <v>0.91026704262730163</v>
      </c>
      <c r="S182" s="23">
        <f t="shared" si="29"/>
        <v>0.83670169765561841</v>
      </c>
      <c r="T182" s="23">
        <f t="shared" si="30"/>
        <v>0.89197133703357123</v>
      </c>
      <c r="U182" s="23">
        <f t="shared" si="31"/>
        <v>0.91724390319201121</v>
      </c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H182" s="21"/>
    </row>
    <row r="183" spans="2:34">
      <c r="B183" s="24">
        <v>8.4860000000000007</v>
      </c>
      <c r="C183" s="24">
        <v>368.35000600000001</v>
      </c>
      <c r="D183" s="24">
        <v>41.445</v>
      </c>
      <c r="E183" s="24">
        <v>15.07</v>
      </c>
      <c r="F183" s="24">
        <v>10.898</v>
      </c>
      <c r="G183" s="22">
        <v>1.061458</v>
      </c>
      <c r="H183" s="22">
        <v>0.87287000000000003</v>
      </c>
      <c r="I183" s="22">
        <v>10.199999999999999</v>
      </c>
      <c r="J183" s="22">
        <v>20.93</v>
      </c>
      <c r="K183" s="22">
        <f t="shared" si="22"/>
        <v>19.718161246135033</v>
      </c>
      <c r="L183">
        <f t="shared" si="23"/>
        <v>421.9987008374672</v>
      </c>
      <c r="M183" s="21"/>
      <c r="N183" s="23">
        <f t="shared" si="24"/>
        <v>0.88221228817964503</v>
      </c>
      <c r="O183" s="23">
        <f t="shared" si="25"/>
        <v>0.91438290551467483</v>
      </c>
      <c r="P183" s="23">
        <f t="shared" si="26"/>
        <v>0.98071467017106839</v>
      </c>
      <c r="Q183" s="23">
        <f t="shared" si="27"/>
        <v>0.82412779307272188</v>
      </c>
      <c r="R183" s="23">
        <f t="shared" si="28"/>
        <v>0.90379830817714391</v>
      </c>
      <c r="S183" s="23">
        <f t="shared" si="29"/>
        <v>0.82457558609539205</v>
      </c>
      <c r="T183" s="23">
        <f t="shared" si="30"/>
        <v>0.87978138378388449</v>
      </c>
      <c r="U183" s="23">
        <f t="shared" si="31"/>
        <v>0.90219079543593694</v>
      </c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H183" s="21"/>
    </row>
    <row r="184" spans="2:34">
      <c r="B184" s="24">
        <v>8.4550000000000001</v>
      </c>
      <c r="C184" s="24">
        <v>367.02999899999998</v>
      </c>
      <c r="D184" s="24">
        <v>41.625</v>
      </c>
      <c r="E184" s="24">
        <v>14.842000000000001</v>
      </c>
      <c r="F184" s="24">
        <v>10.843999999999999</v>
      </c>
      <c r="G184" s="22">
        <v>1.0626990000000001</v>
      </c>
      <c r="H184" s="22">
        <v>0.87144999999999995</v>
      </c>
      <c r="I184" s="22">
        <v>10.130000000000001</v>
      </c>
      <c r="J184" s="22">
        <v>20.790001</v>
      </c>
      <c r="K184" s="22">
        <f t="shared" si="22"/>
        <v>19.563395655778351</v>
      </c>
      <c r="L184">
        <f t="shared" si="23"/>
        <v>421.17160938665444</v>
      </c>
      <c r="M184" s="21"/>
      <c r="N184" s="23">
        <f t="shared" si="24"/>
        <v>0.87898949994802011</v>
      </c>
      <c r="O184" s="23">
        <f t="shared" si="25"/>
        <v>0.91110615292529185</v>
      </c>
      <c r="P184" s="23">
        <f t="shared" si="26"/>
        <v>0.98497401727278855</v>
      </c>
      <c r="Q184" s="23">
        <f t="shared" si="27"/>
        <v>0.81165923721203304</v>
      </c>
      <c r="R184" s="23">
        <f t="shared" si="28"/>
        <v>0.89931995355780403</v>
      </c>
      <c r="S184" s="23">
        <f t="shared" si="29"/>
        <v>0.81891673403395326</v>
      </c>
      <c r="T184" s="23">
        <f t="shared" si="30"/>
        <v>0.87389660050875984</v>
      </c>
      <c r="U184" s="23">
        <f t="shared" si="31"/>
        <v>0.89510960316212007</v>
      </c>
      <c r="V184" s="21"/>
      <c r="W184" s="21"/>
      <c r="X184" s="21"/>
      <c r="Z184" s="21"/>
      <c r="AA184" s="21"/>
      <c r="AB184" s="21"/>
      <c r="AC184" s="21"/>
      <c r="AD184" s="21"/>
      <c r="AE184" s="21"/>
      <c r="AF184" s="21"/>
      <c r="AH184" s="21"/>
    </row>
    <row r="185" spans="2:34">
      <c r="B185" s="24">
        <v>8.3919999999999995</v>
      </c>
      <c r="C185" s="24">
        <v>359.19000199999999</v>
      </c>
      <c r="D185" s="24">
        <v>41.404998999999997</v>
      </c>
      <c r="E185" s="24">
        <v>14.782</v>
      </c>
      <c r="F185" s="24">
        <v>10.76</v>
      </c>
      <c r="G185" s="22">
        <v>1.061008</v>
      </c>
      <c r="H185" s="22">
        <v>0.87829000000000002</v>
      </c>
      <c r="I185" s="22">
        <v>10.06</v>
      </c>
      <c r="J185" s="22">
        <v>20.639999</v>
      </c>
      <c r="K185" s="22">
        <f t="shared" si="22"/>
        <v>19.453198279372071</v>
      </c>
      <c r="L185">
        <f t="shared" si="23"/>
        <v>408.96515046283116</v>
      </c>
      <c r="M185" s="21"/>
      <c r="N185" s="23">
        <f t="shared" si="24"/>
        <v>0.87243996257407264</v>
      </c>
      <c r="O185" s="23">
        <f t="shared" si="25"/>
        <v>0.89164433910877106</v>
      </c>
      <c r="P185" s="23">
        <f t="shared" si="26"/>
        <v>0.97976812492986887</v>
      </c>
      <c r="Q185" s="23">
        <f t="shared" si="27"/>
        <v>0.80837803830132537</v>
      </c>
      <c r="R185" s="23">
        <f t="shared" si="28"/>
        <v>0.89235362414994202</v>
      </c>
      <c r="S185" s="23">
        <f t="shared" si="29"/>
        <v>0.81325788197251425</v>
      </c>
      <c r="T185" s="23">
        <f t="shared" si="30"/>
        <v>0.86759134646526481</v>
      </c>
      <c r="U185" s="23">
        <f t="shared" si="31"/>
        <v>0.89006759861443829</v>
      </c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H185" s="21"/>
    </row>
    <row r="186" spans="2:34">
      <c r="B186" s="24">
        <v>8.5310000000000006</v>
      </c>
      <c r="C186" s="24">
        <v>356.42001299999998</v>
      </c>
      <c r="D186" s="24">
        <v>42.104999999999997</v>
      </c>
      <c r="E186" s="24">
        <v>15.141999999999999</v>
      </c>
      <c r="F186" s="24">
        <v>10.922000000000001</v>
      </c>
      <c r="G186" s="22">
        <v>1.060333</v>
      </c>
      <c r="H186" s="22">
        <v>0.88029999999999997</v>
      </c>
      <c r="I186" s="22">
        <v>10.050000000000001</v>
      </c>
      <c r="J186" s="22">
        <v>20.540001</v>
      </c>
      <c r="K186" s="22">
        <f t="shared" si="22"/>
        <v>19.371273929982372</v>
      </c>
      <c r="L186">
        <f t="shared" si="23"/>
        <v>404.88471316596616</v>
      </c>
      <c r="M186" s="21"/>
      <c r="N186" s="23">
        <f t="shared" si="24"/>
        <v>0.88689052916103606</v>
      </c>
      <c r="O186" s="23">
        <f t="shared" si="25"/>
        <v>0.88476818721843098</v>
      </c>
      <c r="P186" s="23">
        <f t="shared" si="26"/>
        <v>0.99633227621070897</v>
      </c>
      <c r="Q186" s="23">
        <f t="shared" si="27"/>
        <v>0.8280652317655709</v>
      </c>
      <c r="R186" s="23">
        <f t="shared" si="28"/>
        <v>0.90578868800796164</v>
      </c>
      <c r="S186" s="23">
        <f t="shared" si="29"/>
        <v>0.81244947453516581</v>
      </c>
      <c r="T186" s="23">
        <f t="shared" si="30"/>
        <v>0.86338798388448978</v>
      </c>
      <c r="U186" s="23">
        <f t="shared" si="31"/>
        <v>0.88631920681365861</v>
      </c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H186" s="21"/>
    </row>
    <row r="187" spans="2:34">
      <c r="B187" s="24">
        <v>8.3840000000000003</v>
      </c>
      <c r="C187" s="24">
        <v>353.76001000000002</v>
      </c>
      <c r="D187" s="24">
        <v>41.615001999999997</v>
      </c>
      <c r="E187" s="24">
        <v>14.673999999999999</v>
      </c>
      <c r="F187" s="24">
        <v>10.738</v>
      </c>
      <c r="G187" s="22">
        <v>1.0667800000000001</v>
      </c>
      <c r="H187" s="22">
        <v>0.87907000000000002</v>
      </c>
      <c r="I187" s="22">
        <v>10.14</v>
      </c>
      <c r="J187" s="22">
        <v>20.629999000000002</v>
      </c>
      <c r="K187" s="22">
        <f t="shared" si="22"/>
        <v>19.338569339507679</v>
      </c>
      <c r="L187">
        <f t="shared" si="23"/>
        <v>402.42530173933818</v>
      </c>
      <c r="M187" s="21"/>
      <c r="N187" s="23">
        <f t="shared" si="24"/>
        <v>0.87160827528849216</v>
      </c>
      <c r="O187" s="23">
        <f t="shared" si="25"/>
        <v>0.87816506184256848</v>
      </c>
      <c r="P187" s="23">
        <f t="shared" si="26"/>
        <v>0.98473743420432747</v>
      </c>
      <c r="Q187" s="23">
        <f t="shared" si="27"/>
        <v>0.80247188026205174</v>
      </c>
      <c r="R187" s="23">
        <f t="shared" si="28"/>
        <v>0.89052910930502571</v>
      </c>
      <c r="S187" s="23">
        <f t="shared" si="29"/>
        <v>0.8197251414713016</v>
      </c>
      <c r="T187" s="23">
        <f t="shared" si="30"/>
        <v>0.86717100180029405</v>
      </c>
      <c r="U187" s="23">
        <f t="shared" si="31"/>
        <v>0.88482283095353353</v>
      </c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H187" s="21"/>
    </row>
    <row r="188" spans="2:34">
      <c r="B188" s="24">
        <v>8.3879999999999999</v>
      </c>
      <c r="C188" s="24">
        <v>356.57000699999998</v>
      </c>
      <c r="D188" s="24">
        <v>41.880001</v>
      </c>
      <c r="E188" s="24">
        <v>14.662000000000001</v>
      </c>
      <c r="F188" s="24">
        <v>10.747999999999999</v>
      </c>
      <c r="G188" s="22">
        <v>1.064022</v>
      </c>
      <c r="H188" s="22">
        <v>0.88019000000000003</v>
      </c>
      <c r="I188" s="22">
        <v>9.9700000000000006</v>
      </c>
      <c r="J188" s="22">
        <v>20.59</v>
      </c>
      <c r="K188" s="22">
        <f t="shared" si="22"/>
        <v>19.351103642593856</v>
      </c>
      <c r="L188">
        <f t="shared" si="23"/>
        <v>405.10572376418725</v>
      </c>
      <c r="M188" s="21"/>
      <c r="N188" s="23">
        <f t="shared" si="24"/>
        <v>0.8720241189312824</v>
      </c>
      <c r="O188" s="23">
        <f t="shared" si="25"/>
        <v>0.8851405285983569</v>
      </c>
      <c r="P188" s="23">
        <f t="shared" si="26"/>
        <v>0.99100811599659833</v>
      </c>
      <c r="Q188" s="23">
        <f t="shared" si="27"/>
        <v>0.80181564047991027</v>
      </c>
      <c r="R188" s="23">
        <f t="shared" si="28"/>
        <v>0.89135843423453309</v>
      </c>
      <c r="S188" s="23">
        <f t="shared" si="29"/>
        <v>0.80598221503637846</v>
      </c>
      <c r="T188" s="23">
        <f t="shared" si="30"/>
        <v>0.86548966517487724</v>
      </c>
      <c r="U188" s="23">
        <f t="shared" si="31"/>
        <v>0.88539632930007783</v>
      </c>
      <c r="V188" s="21"/>
      <c r="W188" s="21"/>
      <c r="X188" s="21"/>
      <c r="Y188" s="21"/>
      <c r="Z188" s="21"/>
      <c r="AA188" s="21"/>
      <c r="AC188" s="21"/>
      <c r="AE188" s="21"/>
      <c r="AF188" s="21"/>
      <c r="AH188" s="21"/>
    </row>
    <row r="189" spans="2:34">
      <c r="B189" s="24">
        <v>8.3719999999999999</v>
      </c>
      <c r="C189" s="24">
        <v>363.55999800000001</v>
      </c>
      <c r="D189" s="24">
        <v>42.040000999999997</v>
      </c>
      <c r="E189" s="24">
        <v>14.582000000000001</v>
      </c>
      <c r="F189" s="24">
        <v>10.726000000000001</v>
      </c>
      <c r="G189" s="22">
        <v>1.063717</v>
      </c>
      <c r="H189" s="22">
        <v>0.88436000000000003</v>
      </c>
      <c r="I189" s="22">
        <v>9.99</v>
      </c>
      <c r="J189" s="22">
        <v>20.48</v>
      </c>
      <c r="K189" s="22">
        <f t="shared" si="22"/>
        <v>19.253241228635058</v>
      </c>
      <c r="L189">
        <f t="shared" si="23"/>
        <v>411.09954995703106</v>
      </c>
      <c r="M189" s="21"/>
      <c r="N189" s="23">
        <f t="shared" si="24"/>
        <v>0.87036074436012112</v>
      </c>
      <c r="O189" s="23">
        <f t="shared" si="25"/>
        <v>0.9024923086336244</v>
      </c>
      <c r="P189" s="23">
        <f t="shared" si="26"/>
        <v>0.99479420230923843</v>
      </c>
      <c r="Q189" s="23">
        <f t="shared" si="27"/>
        <v>0.79744070859896687</v>
      </c>
      <c r="R189" s="23">
        <f t="shared" si="28"/>
        <v>0.88953391938961701</v>
      </c>
      <c r="S189" s="23">
        <f t="shared" si="29"/>
        <v>0.80759902991107524</v>
      </c>
      <c r="T189" s="23">
        <f t="shared" si="30"/>
        <v>0.86086587386019842</v>
      </c>
      <c r="U189" s="23">
        <f t="shared" si="31"/>
        <v>0.88091870240623782</v>
      </c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H189" s="21"/>
    </row>
    <row r="190" spans="2:34">
      <c r="B190" s="24">
        <v>8.3369999999999997</v>
      </c>
      <c r="C190" s="24">
        <v>356.22000100000002</v>
      </c>
      <c r="D190" s="24">
        <v>41.73</v>
      </c>
      <c r="E190" s="24">
        <v>14.442</v>
      </c>
      <c r="F190" s="24">
        <v>10.667999999999999</v>
      </c>
      <c r="G190" s="22">
        <v>1.0629249999999999</v>
      </c>
      <c r="H190" s="22">
        <v>0.88361000000000001</v>
      </c>
      <c r="I190" s="22">
        <v>9.94</v>
      </c>
      <c r="J190" s="22">
        <v>20.5</v>
      </c>
      <c r="K190" s="22">
        <f t="shared" si="22"/>
        <v>19.286403085824496</v>
      </c>
      <c r="L190">
        <f t="shared" si="23"/>
        <v>403.14165865030952</v>
      </c>
      <c r="M190" s="21"/>
      <c r="N190" s="23">
        <f t="shared" si="24"/>
        <v>0.86672211248570585</v>
      </c>
      <c r="O190" s="23">
        <f t="shared" si="25"/>
        <v>0.88427168239769327</v>
      </c>
      <c r="P190" s="23">
        <f t="shared" si="26"/>
        <v>0.98745863641545872</v>
      </c>
      <c r="Q190" s="23">
        <f t="shared" si="27"/>
        <v>0.78978457780731581</v>
      </c>
      <c r="R190" s="23">
        <f t="shared" si="28"/>
        <v>0.88472383479847405</v>
      </c>
      <c r="S190" s="23">
        <f t="shared" si="29"/>
        <v>0.80355699272433312</v>
      </c>
      <c r="T190" s="23">
        <f t="shared" si="30"/>
        <v>0.86170656319014005</v>
      </c>
      <c r="U190" s="23">
        <f t="shared" si="31"/>
        <v>0.88243600018783175</v>
      </c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H190" s="21"/>
    </row>
    <row r="191" spans="2:34">
      <c r="B191" s="24">
        <v>8.4030000000000005</v>
      </c>
      <c r="C191" s="24">
        <v>355.38000499999998</v>
      </c>
      <c r="D191" s="24">
        <v>41.584999000000003</v>
      </c>
      <c r="E191" s="24">
        <v>14.666</v>
      </c>
      <c r="F191" s="24">
        <v>10.768000000000001</v>
      </c>
      <c r="G191" s="22">
        <v>1.0660750000000001</v>
      </c>
      <c r="H191" s="22">
        <v>0.88407000000000002</v>
      </c>
      <c r="I191" s="22">
        <v>9.86</v>
      </c>
      <c r="J191" s="22">
        <v>20.5</v>
      </c>
      <c r="K191" s="22">
        <f t="shared" si="22"/>
        <v>19.229416316863258</v>
      </c>
      <c r="L191">
        <f t="shared" si="23"/>
        <v>401.98174918275697</v>
      </c>
      <c r="M191" s="21"/>
      <c r="N191" s="23">
        <f t="shared" si="24"/>
        <v>0.87358353259174604</v>
      </c>
      <c r="O191" s="23">
        <f t="shared" si="25"/>
        <v>0.88218649719180309</v>
      </c>
      <c r="P191" s="23">
        <f t="shared" si="26"/>
        <v>0.98402747203158925</v>
      </c>
      <c r="Q191" s="23">
        <f t="shared" si="27"/>
        <v>0.80203438707395747</v>
      </c>
      <c r="R191" s="23">
        <f t="shared" si="28"/>
        <v>0.89301708409354796</v>
      </c>
      <c r="S191" s="23">
        <f t="shared" si="29"/>
        <v>0.79708973322554577</v>
      </c>
      <c r="T191" s="23">
        <f t="shared" si="30"/>
        <v>0.86170656319014005</v>
      </c>
      <c r="U191" s="23">
        <f t="shared" si="31"/>
        <v>0.87982861008808089</v>
      </c>
      <c r="V191" s="21"/>
      <c r="W191" s="21"/>
      <c r="X191" s="21"/>
      <c r="Y191" s="21"/>
      <c r="AA191" s="21"/>
      <c r="AB191" s="21"/>
      <c r="AC191" s="21"/>
      <c r="AD191" s="21"/>
      <c r="AE191" s="21"/>
      <c r="AF191" s="21"/>
      <c r="AH191" s="21"/>
    </row>
    <row r="192" spans="2:34">
      <c r="B192" s="24">
        <v>8.3040000000000003</v>
      </c>
      <c r="C192" s="24">
        <v>352.79998799999998</v>
      </c>
      <c r="D192" s="24">
        <v>41.395000000000003</v>
      </c>
      <c r="E192" s="24">
        <v>14.51</v>
      </c>
      <c r="F192" s="24">
        <v>10.646000000000001</v>
      </c>
      <c r="G192" s="22">
        <v>1.070973</v>
      </c>
      <c r="H192" s="22">
        <v>0.88414000000000004</v>
      </c>
      <c r="I192" s="22">
        <v>9.9499999999999993</v>
      </c>
      <c r="J192" s="22">
        <v>20.43</v>
      </c>
      <c r="K192" s="22">
        <f t="shared" si="22"/>
        <v>19.07611116246628</v>
      </c>
      <c r="L192">
        <f t="shared" si="23"/>
        <v>399.03181396611393</v>
      </c>
      <c r="M192" s="21"/>
      <c r="N192" s="23">
        <f t="shared" si="24"/>
        <v>0.86329140243268587</v>
      </c>
      <c r="O192" s="23">
        <f t="shared" si="25"/>
        <v>0.87578192707558256</v>
      </c>
      <c r="P192" s="23">
        <f t="shared" si="26"/>
        <v>0.97953151819836848</v>
      </c>
      <c r="Q192" s="23">
        <f t="shared" si="27"/>
        <v>0.79350326990611775</v>
      </c>
      <c r="R192" s="23">
        <f t="shared" si="28"/>
        <v>0.88289931995355797</v>
      </c>
      <c r="S192" s="23">
        <f t="shared" si="29"/>
        <v>0.80436540016168157</v>
      </c>
      <c r="T192" s="23">
        <f t="shared" si="30"/>
        <v>0.85876415053534438</v>
      </c>
      <c r="U192" s="23">
        <f t="shared" si="31"/>
        <v>0.87281423904894817</v>
      </c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H192" s="21"/>
    </row>
    <row r="193" spans="2:34">
      <c r="B193" s="24">
        <v>8.5060000000000002</v>
      </c>
      <c r="C193" s="24">
        <v>358.88000499999998</v>
      </c>
      <c r="D193" s="24">
        <v>42.360000999999997</v>
      </c>
      <c r="E193" s="24">
        <v>14.972</v>
      </c>
      <c r="F193" s="24">
        <v>10.916</v>
      </c>
      <c r="G193" s="22">
        <v>1.067771</v>
      </c>
      <c r="H193" s="22">
        <v>0.88510999999999995</v>
      </c>
      <c r="I193" s="22">
        <v>9.94</v>
      </c>
      <c r="J193" s="22">
        <v>20.41</v>
      </c>
      <c r="K193" s="22">
        <f t="shared" si="22"/>
        <v>19.114585430771204</v>
      </c>
      <c r="L193">
        <f t="shared" si="23"/>
        <v>405.46373332128212</v>
      </c>
      <c r="M193" s="21"/>
      <c r="N193" s="23">
        <f t="shared" si="24"/>
        <v>0.88429150639359655</v>
      </c>
      <c r="O193" s="23">
        <f t="shared" si="25"/>
        <v>0.89087481025593096</v>
      </c>
      <c r="P193" s="23">
        <f t="shared" si="26"/>
        <v>1.0023663749345186</v>
      </c>
      <c r="Q193" s="23">
        <f t="shared" si="27"/>
        <v>0.81876850151856617</v>
      </c>
      <c r="R193" s="23">
        <f t="shared" si="28"/>
        <v>0.90529109305025723</v>
      </c>
      <c r="S193" s="23">
        <f t="shared" si="29"/>
        <v>0.80355699272433312</v>
      </c>
      <c r="T193" s="23">
        <f t="shared" si="30"/>
        <v>0.85792346120540275</v>
      </c>
      <c r="U193" s="23">
        <f t="shared" si="31"/>
        <v>0.87457460251755703</v>
      </c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H193" s="21"/>
    </row>
    <row r="194" spans="2:34">
      <c r="B194" s="24">
        <v>8.4009999999999998</v>
      </c>
      <c r="C194" s="24">
        <v>361.30999800000001</v>
      </c>
      <c r="D194" s="24">
        <v>41.564999</v>
      </c>
      <c r="E194" s="24">
        <v>14.616</v>
      </c>
      <c r="F194" s="24">
        <v>10.712</v>
      </c>
      <c r="G194" s="22">
        <v>1.0546850000000001</v>
      </c>
      <c r="H194" s="22">
        <v>0.88088999999999995</v>
      </c>
      <c r="I194" s="22">
        <v>9.94</v>
      </c>
      <c r="J194" s="22">
        <v>20.51</v>
      </c>
      <c r="K194" s="22">
        <f t="shared" si="22"/>
        <v>19.446564614079087</v>
      </c>
      <c r="L194">
        <f t="shared" si="23"/>
        <v>410.1647175016177</v>
      </c>
      <c r="M194" s="21"/>
      <c r="N194" s="23">
        <f t="shared" si="24"/>
        <v>0.87337561077035086</v>
      </c>
      <c r="O194" s="23">
        <f t="shared" si="25"/>
        <v>0.89690696452097074</v>
      </c>
      <c r="P194" s="23">
        <f t="shared" si="26"/>
        <v>0.98355421124250908</v>
      </c>
      <c r="Q194" s="23">
        <f t="shared" si="27"/>
        <v>0.79930005464836784</v>
      </c>
      <c r="R194" s="23">
        <f t="shared" si="28"/>
        <v>0.88837286448830666</v>
      </c>
      <c r="S194" s="23">
        <f t="shared" si="29"/>
        <v>0.80355699272433312</v>
      </c>
      <c r="T194" s="23">
        <f t="shared" si="30"/>
        <v>0.86212690785511081</v>
      </c>
      <c r="U194" s="23">
        <f t="shared" si="31"/>
        <v>0.88976407985867667</v>
      </c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H194" s="21"/>
    </row>
    <row r="195" spans="2:34">
      <c r="B195" s="24">
        <v>8.4760000000000009</v>
      </c>
      <c r="C195" s="24">
        <v>359.19000199999999</v>
      </c>
      <c r="D195" s="24">
        <v>41.349997999999999</v>
      </c>
      <c r="E195" s="24">
        <v>14.714</v>
      </c>
      <c r="F195" s="24">
        <v>10.842000000000001</v>
      </c>
      <c r="G195" s="22">
        <v>1.0606370000000001</v>
      </c>
      <c r="H195" s="22">
        <v>0.87946999999999997</v>
      </c>
      <c r="I195" s="22">
        <v>10.01</v>
      </c>
      <c r="J195" s="22">
        <v>20.559999000000001</v>
      </c>
      <c r="K195" s="22">
        <f t="shared" ref="K195:K202" si="32">J195/G195</f>
        <v>19.384576438498751</v>
      </c>
      <c r="L195">
        <f t="shared" ref="L195:L202" si="33">C195/H195</f>
        <v>408.41643489829102</v>
      </c>
      <c r="M195" s="21"/>
      <c r="N195" s="23">
        <f t="shared" si="24"/>
        <v>0.88117267907266927</v>
      </c>
      <c r="O195" s="23">
        <f t="shared" si="25"/>
        <v>0.89164433910877106</v>
      </c>
      <c r="P195" s="23">
        <f t="shared" si="26"/>
        <v>0.97846663409685941</v>
      </c>
      <c r="Q195" s="23">
        <f t="shared" si="27"/>
        <v>0.80465934620252355</v>
      </c>
      <c r="R195" s="23">
        <f t="shared" si="28"/>
        <v>0.89915408857190271</v>
      </c>
      <c r="S195" s="23">
        <f t="shared" si="29"/>
        <v>0.80921584478577213</v>
      </c>
      <c r="T195" s="23">
        <f t="shared" si="30"/>
        <v>0.86422858914549827</v>
      </c>
      <c r="U195" s="23">
        <f t="shared" si="31"/>
        <v>0.88692785386699569</v>
      </c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H195" s="21"/>
    </row>
    <row r="196" spans="2:34">
      <c r="B196" s="24">
        <v>8.4329999999999998</v>
      </c>
      <c r="C196" s="24">
        <v>362.89999399999999</v>
      </c>
      <c r="D196" s="24">
        <v>41.470001000000003</v>
      </c>
      <c r="E196" s="24">
        <v>14.586</v>
      </c>
      <c r="F196" s="24">
        <v>10.744</v>
      </c>
      <c r="G196" s="22">
        <v>1.052222</v>
      </c>
      <c r="H196" s="22">
        <v>0.88324000000000003</v>
      </c>
      <c r="I196" s="22">
        <v>9.9600000000000009</v>
      </c>
      <c r="J196" s="22">
        <v>20.5</v>
      </c>
      <c r="K196" s="22">
        <f t="shared" si="32"/>
        <v>19.48258067213953</v>
      </c>
      <c r="L196">
        <f t="shared" si="33"/>
        <v>410.87359494588105</v>
      </c>
      <c r="M196" s="21"/>
      <c r="N196" s="23">
        <f t="shared" ref="N196:N202" si="34">N195+(B196-B195)/B$2</f>
        <v>0.87670235991267331</v>
      </c>
      <c r="O196" s="23">
        <f t="shared" ref="O196:O202" si="35">O195+(C196-C195)/C$2</f>
        <v>0.90085393109774525</v>
      </c>
      <c r="P196" s="23">
        <f t="shared" ref="P196:P202" si="36">P195+(D196-D195)/D$2</f>
        <v>0.98130626982045799</v>
      </c>
      <c r="Q196" s="23">
        <f t="shared" ref="Q196:Q202" si="37">Q195+(E196-E195)/E$2</f>
        <v>0.79765945519301407</v>
      </c>
      <c r="R196" s="23">
        <f t="shared" ref="R196:R202" si="38">R195+(F196-F195)/F$2</f>
        <v>0.89102670426273034</v>
      </c>
      <c r="S196" s="23">
        <f t="shared" ref="S196:S202" si="39">S195+(I196-I195)/I$2</f>
        <v>0.80517380759903012</v>
      </c>
      <c r="T196" s="23">
        <f t="shared" ref="T196:T202" si="40">T195+(J196-J195)/J$2</f>
        <v>0.86170656319013994</v>
      </c>
      <c r="U196" s="23">
        <f t="shared" ref="U196:U202" si="41">U195+(K196-K195)/K$2</f>
        <v>0.89141196962204838</v>
      </c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H196" s="21"/>
    </row>
    <row r="197" spans="2:34">
      <c r="B197" s="24">
        <v>8.5109999999999992</v>
      </c>
      <c r="C197" s="24">
        <v>363.60000600000001</v>
      </c>
      <c r="D197" s="24">
        <v>42.189999</v>
      </c>
      <c r="E197" s="24">
        <v>14.616</v>
      </c>
      <c r="F197" s="24">
        <v>10.848000000000001</v>
      </c>
      <c r="G197" s="22">
        <v>1.0656319999999999</v>
      </c>
      <c r="H197" s="22">
        <v>0.87944</v>
      </c>
      <c r="I197" s="22">
        <v>10.11</v>
      </c>
      <c r="J197" s="22">
        <v>20.5</v>
      </c>
      <c r="K197" s="22">
        <f t="shared" si="32"/>
        <v>19.23741028797934</v>
      </c>
      <c r="L197">
        <f t="shared" si="33"/>
        <v>413.44492631674706</v>
      </c>
      <c r="M197" s="21"/>
      <c r="N197" s="23">
        <f t="shared" si="34"/>
        <v>0.88481131094708432</v>
      </c>
      <c r="O197" s="23">
        <f t="shared" si="35"/>
        <v>0.90259162349907274</v>
      </c>
      <c r="P197" s="23">
        <f t="shared" si="36"/>
        <v>0.99834361090125967</v>
      </c>
      <c r="Q197" s="23">
        <f t="shared" si="37"/>
        <v>0.79930005464836784</v>
      </c>
      <c r="R197" s="23">
        <f t="shared" si="38"/>
        <v>0.89965168352960723</v>
      </c>
      <c r="S197" s="23">
        <f t="shared" si="39"/>
        <v>0.81729991915925637</v>
      </c>
      <c r="T197" s="23">
        <f t="shared" si="40"/>
        <v>0.86170656319013994</v>
      </c>
      <c r="U197" s="23">
        <f t="shared" si="41"/>
        <v>0.8801943686935555</v>
      </c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H197" s="21"/>
    </row>
    <row r="198" spans="2:34">
      <c r="B198" s="24">
        <v>8.6050000000000004</v>
      </c>
      <c r="C198" s="24">
        <v>364.54998799999998</v>
      </c>
      <c r="D198" s="24">
        <v>41.834999000000003</v>
      </c>
      <c r="E198" s="24">
        <v>15.012</v>
      </c>
      <c r="F198" s="24">
        <v>10.952</v>
      </c>
      <c r="G198" s="22">
        <v>1.073318</v>
      </c>
      <c r="H198" s="22">
        <v>0.88065000000000004</v>
      </c>
      <c r="I198" s="22">
        <v>10.16</v>
      </c>
      <c r="J198" s="22">
        <v>20.91</v>
      </c>
      <c r="K198" s="22">
        <f t="shared" si="32"/>
        <v>19.481644768838311</v>
      </c>
      <c r="L198">
        <f t="shared" si="33"/>
        <v>413.95558735025264</v>
      </c>
      <c r="M198" s="21"/>
      <c r="N198" s="23">
        <f t="shared" si="34"/>
        <v>0.89458363655265671</v>
      </c>
      <c r="O198" s="23">
        <f t="shared" si="35"/>
        <v>0.90494983521944017</v>
      </c>
      <c r="P198" s="23">
        <f t="shared" si="36"/>
        <v>0.98994323189508937</v>
      </c>
      <c r="Q198" s="23">
        <f t="shared" si="37"/>
        <v>0.82095596745903798</v>
      </c>
      <c r="R198" s="23">
        <f t="shared" si="38"/>
        <v>0.90827666279648389</v>
      </c>
      <c r="S198" s="23">
        <f t="shared" si="39"/>
        <v>0.82134195634599849</v>
      </c>
      <c r="T198" s="23">
        <f t="shared" si="40"/>
        <v>0.87894069445394274</v>
      </c>
      <c r="U198" s="23">
        <f t="shared" si="41"/>
        <v>0.89136914801544731</v>
      </c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H198" s="21"/>
    </row>
    <row r="199" spans="2:34">
      <c r="B199" s="24">
        <v>8.5</v>
      </c>
      <c r="C199" s="24">
        <v>366.86999500000002</v>
      </c>
      <c r="D199" s="24">
        <v>41.139999000000003</v>
      </c>
      <c r="E199" s="24">
        <v>14.734</v>
      </c>
      <c r="F199" s="24">
        <v>10.824</v>
      </c>
      <c r="G199" s="22">
        <v>1.073895</v>
      </c>
      <c r="H199" s="22">
        <v>0.88348000000000004</v>
      </c>
      <c r="I199" s="22">
        <v>10.199999999999999</v>
      </c>
      <c r="J199" s="22">
        <v>20.889999</v>
      </c>
      <c r="K199" s="22">
        <f t="shared" si="32"/>
        <v>19.452552623859873</v>
      </c>
      <c r="L199">
        <f t="shared" si="33"/>
        <v>415.25557454611311</v>
      </c>
      <c r="M199" s="21"/>
      <c r="N199" s="23">
        <f t="shared" si="34"/>
        <v>0.88366774092941103</v>
      </c>
      <c r="O199" s="23">
        <f t="shared" si="35"/>
        <v>0.91070896297000259</v>
      </c>
      <c r="P199" s="23">
        <f t="shared" si="36"/>
        <v>0.9734974194745587</v>
      </c>
      <c r="Q199" s="23">
        <f t="shared" si="37"/>
        <v>0.80575307917275951</v>
      </c>
      <c r="R199" s="23">
        <f t="shared" si="38"/>
        <v>0.89766130369878938</v>
      </c>
      <c r="S199" s="23">
        <f t="shared" si="39"/>
        <v>0.82457558609539217</v>
      </c>
      <c r="T199" s="23">
        <f t="shared" si="40"/>
        <v>0.87809996308953464</v>
      </c>
      <c r="U199" s="23">
        <f t="shared" si="41"/>
        <v>0.89003805709416883</v>
      </c>
      <c r="V199" s="21"/>
      <c r="X199" s="21"/>
      <c r="Y199" s="21"/>
      <c r="Z199" s="21"/>
      <c r="AA199" s="21"/>
      <c r="AB199" s="21"/>
      <c r="AC199" s="21"/>
      <c r="AD199" s="21"/>
      <c r="AE199" s="21"/>
      <c r="AF199" s="21"/>
      <c r="AH199" s="21"/>
    </row>
    <row r="200" spans="2:34">
      <c r="B200" s="24">
        <v>8.5890000000000004</v>
      </c>
      <c r="C200" s="24">
        <v>371.60000600000001</v>
      </c>
      <c r="D200" s="24">
        <v>41.380001</v>
      </c>
      <c r="E200" s="24">
        <v>14.94</v>
      </c>
      <c r="F200" s="24">
        <v>10.956</v>
      </c>
      <c r="G200" s="22">
        <v>1.0766</v>
      </c>
      <c r="H200" s="22">
        <v>0.88529000000000002</v>
      </c>
      <c r="I200" s="22">
        <v>10.29</v>
      </c>
      <c r="J200" s="22">
        <v>21.030000999999999</v>
      </c>
      <c r="K200" s="22">
        <f t="shared" si="32"/>
        <v>19.533718186884634</v>
      </c>
      <c r="L200">
        <f t="shared" si="33"/>
        <v>419.7494674061607</v>
      </c>
      <c r="M200" s="21"/>
      <c r="N200" s="23">
        <f t="shared" si="34"/>
        <v>0.89292026198149543</v>
      </c>
      <c r="O200" s="23">
        <f t="shared" si="35"/>
        <v>0.92245062478850781</v>
      </c>
      <c r="P200" s="23">
        <f t="shared" si="36"/>
        <v>0.97917659626959774</v>
      </c>
      <c r="Q200" s="23">
        <f t="shared" si="37"/>
        <v>0.81701852876618886</v>
      </c>
      <c r="R200" s="23">
        <f t="shared" si="38"/>
        <v>0.90860839276828675</v>
      </c>
      <c r="S200" s="23">
        <f t="shared" si="39"/>
        <v>0.83185125303152796</v>
      </c>
      <c r="T200" s="23">
        <f t="shared" si="40"/>
        <v>0.88398487246805879</v>
      </c>
      <c r="U200" s="23">
        <f t="shared" si="41"/>
        <v>0.89375173115095585</v>
      </c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H200" s="21"/>
    </row>
    <row r="201" spans="2:34">
      <c r="B201" s="24">
        <v>8.5920000000000005</v>
      </c>
      <c r="C201" s="24">
        <v>375.04998799999998</v>
      </c>
      <c r="D201" s="24">
        <v>41.525002000000001</v>
      </c>
      <c r="E201" s="24">
        <v>15.016</v>
      </c>
      <c r="F201" s="24">
        <v>10.95</v>
      </c>
      <c r="G201" s="22">
        <v>1.0860240000000001</v>
      </c>
      <c r="H201" s="22">
        <v>0.88883000000000001</v>
      </c>
      <c r="I201" s="22">
        <v>10.35</v>
      </c>
      <c r="J201" s="22">
        <v>21.09</v>
      </c>
      <c r="K201" s="22">
        <f t="shared" si="32"/>
        <v>19.419460343417825</v>
      </c>
      <c r="L201">
        <f t="shared" si="33"/>
        <v>421.95919129642334</v>
      </c>
      <c r="M201" s="21"/>
      <c r="N201" s="23">
        <f t="shared" si="34"/>
        <v>0.89323214471358814</v>
      </c>
      <c r="O201" s="23">
        <f t="shared" si="35"/>
        <v>0.93101477441182368</v>
      </c>
      <c r="P201" s="23">
        <f t="shared" si="36"/>
        <v>0.98260776065346733</v>
      </c>
      <c r="Q201" s="23">
        <f t="shared" si="37"/>
        <v>0.82117471405308518</v>
      </c>
      <c r="R201" s="23">
        <f t="shared" si="38"/>
        <v>0.90811079781058235</v>
      </c>
      <c r="S201" s="23">
        <f t="shared" si="39"/>
        <v>0.83670169765561853</v>
      </c>
      <c r="T201" s="23">
        <f t="shared" si="40"/>
        <v>0.88650689842341712</v>
      </c>
      <c r="U201" s="23">
        <f t="shared" si="41"/>
        <v>0.88852394274840785</v>
      </c>
      <c r="V201" s="21"/>
      <c r="W201" s="21"/>
      <c r="X201" s="21"/>
      <c r="Y201" s="21"/>
      <c r="Z201" s="21"/>
      <c r="AA201" s="21"/>
      <c r="AC201" s="21"/>
      <c r="AD201" s="21"/>
      <c r="AE201" s="21"/>
      <c r="AF201" s="21"/>
      <c r="AH201" s="21"/>
    </row>
    <row r="202" spans="2:34">
      <c r="B202" s="24">
        <v>8.6310000000000002</v>
      </c>
      <c r="C202" s="24">
        <v>377.67001299999998</v>
      </c>
      <c r="D202" s="24">
        <v>41.549999</v>
      </c>
      <c r="E202" s="24">
        <v>15.032</v>
      </c>
      <c r="F202" s="24">
        <v>10.984</v>
      </c>
      <c r="G202" s="22">
        <v>1.082462</v>
      </c>
      <c r="H202" s="22">
        <v>0.88527</v>
      </c>
      <c r="I202" s="22">
        <v>10.38</v>
      </c>
      <c r="J202" s="22">
        <v>21.190000999999999</v>
      </c>
      <c r="K202" s="22">
        <f t="shared" si="32"/>
        <v>19.575745846043553</v>
      </c>
      <c r="L202">
        <f t="shared" si="33"/>
        <v>426.61562348210151</v>
      </c>
      <c r="M202" s="21"/>
      <c r="N202" s="23">
        <f t="shared" si="34"/>
        <v>0.89728662023079364</v>
      </c>
      <c r="O202" s="23">
        <f t="shared" si="35"/>
        <v>0.93751865939349266</v>
      </c>
      <c r="P202" s="23">
        <f t="shared" si="36"/>
        <v>0.98319926565069893</v>
      </c>
      <c r="Q202" s="23">
        <f t="shared" si="37"/>
        <v>0.82204970042927383</v>
      </c>
      <c r="R202" s="23">
        <f t="shared" si="38"/>
        <v>0.91093050257090746</v>
      </c>
      <c r="S202" s="23">
        <f t="shared" si="39"/>
        <v>0.83912691996766386</v>
      </c>
      <c r="T202" s="23">
        <f t="shared" si="40"/>
        <v>0.89071038710759154</v>
      </c>
      <c r="U202" s="23">
        <f t="shared" si="41"/>
        <v>0.8956746775542026</v>
      </c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H202" s="21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8FE0-1920-DE4A-AC4D-4E8A192C1E54}">
  <dimension ref="A2:N46"/>
  <sheetViews>
    <sheetView workbookViewId="0">
      <selection activeCell="M17" sqref="M17"/>
    </sheetView>
  </sheetViews>
  <sheetFormatPr baseColWidth="10" defaultRowHeight="15"/>
  <sheetData>
    <row r="2" spans="1:14" ht="16">
      <c r="A2" s="32" t="s">
        <v>1326</v>
      </c>
      <c r="B2" s="79" t="s">
        <v>1327</v>
      </c>
      <c r="C2" s="80"/>
      <c r="D2" s="79" t="s">
        <v>1328</v>
      </c>
      <c r="E2" s="79" t="s">
        <v>1329</v>
      </c>
      <c r="F2" s="79" t="s">
        <v>1330</v>
      </c>
      <c r="G2" s="79"/>
      <c r="H2" s="79" t="s">
        <v>1331</v>
      </c>
      <c r="I2" s="81" t="s">
        <v>1332</v>
      </c>
      <c r="J2" s="79" t="s">
        <v>1333</v>
      </c>
      <c r="K2" s="79" t="s">
        <v>1334</v>
      </c>
      <c r="M2" s="79" t="s">
        <v>1053</v>
      </c>
      <c r="N2" s="79" t="s">
        <v>1135</v>
      </c>
    </row>
    <row r="3" spans="1:14" ht="16">
      <c r="A3" s="32" t="s">
        <v>1335</v>
      </c>
      <c r="B3" s="32" t="s">
        <v>1336</v>
      </c>
      <c r="C3" s="79" t="s">
        <v>1337</v>
      </c>
      <c r="D3" s="80"/>
      <c r="E3" s="79" t="s">
        <v>1338</v>
      </c>
      <c r="F3" s="79" t="s">
        <v>1339</v>
      </c>
      <c r="G3" s="79" t="s">
        <v>1340</v>
      </c>
      <c r="H3" s="79"/>
      <c r="I3" s="79" t="s">
        <v>1341</v>
      </c>
      <c r="J3" s="81" t="s">
        <v>1342</v>
      </c>
      <c r="K3" s="79" t="s">
        <v>1343</v>
      </c>
      <c r="L3" s="79" t="s">
        <v>1344</v>
      </c>
      <c r="M3" s="32" t="s">
        <v>1714</v>
      </c>
      <c r="N3" s="19" t="s">
        <v>1200</v>
      </c>
    </row>
    <row r="4" spans="1:14" ht="16">
      <c r="A4" s="32" t="s">
        <v>1335</v>
      </c>
      <c r="B4" s="32" t="s">
        <v>1345</v>
      </c>
      <c r="C4" s="79" t="s">
        <v>1346</v>
      </c>
      <c r="D4" s="80"/>
      <c r="E4" s="79" t="s">
        <v>1347</v>
      </c>
      <c r="F4" s="79" t="s">
        <v>1348</v>
      </c>
      <c r="G4" s="79" t="s">
        <v>1349</v>
      </c>
      <c r="H4" s="79"/>
      <c r="I4" s="79" t="s">
        <v>1350</v>
      </c>
      <c r="J4" s="81" t="s">
        <v>1351</v>
      </c>
      <c r="K4" s="79" t="s">
        <v>1352</v>
      </c>
      <c r="L4" s="79" t="s">
        <v>1353</v>
      </c>
      <c r="M4" s="32" t="s">
        <v>157</v>
      </c>
      <c r="N4" t="s">
        <v>1715</v>
      </c>
    </row>
    <row r="5" spans="1:14" ht="16">
      <c r="A5" s="32" t="s">
        <v>1335</v>
      </c>
      <c r="B5" s="32" t="s">
        <v>1354</v>
      </c>
      <c r="C5" s="79" t="s">
        <v>1355</v>
      </c>
      <c r="D5" s="80"/>
      <c r="E5" s="79" t="s">
        <v>1356</v>
      </c>
      <c r="F5" s="79" t="s">
        <v>1357</v>
      </c>
      <c r="G5" s="79" t="s">
        <v>1358</v>
      </c>
      <c r="H5" s="79"/>
      <c r="I5" s="79" t="s">
        <v>1359</v>
      </c>
      <c r="J5" s="81" t="s">
        <v>1360</v>
      </c>
      <c r="K5" s="79" t="s">
        <v>1361</v>
      </c>
      <c r="L5" s="79" t="s">
        <v>1362</v>
      </c>
      <c r="M5" s="32" t="s">
        <v>91</v>
      </c>
      <c r="N5" s="79" t="s">
        <v>1716</v>
      </c>
    </row>
    <row r="6" spans="1:14" ht="16">
      <c r="A6" s="32" t="s">
        <v>1335</v>
      </c>
      <c r="B6" s="32" t="s">
        <v>1363</v>
      </c>
      <c r="C6" s="79" t="s">
        <v>1364</v>
      </c>
      <c r="D6" s="80" t="s">
        <v>1365</v>
      </c>
      <c r="E6" s="79" t="s">
        <v>1366</v>
      </c>
      <c r="F6" s="79" t="s">
        <v>1367</v>
      </c>
      <c r="G6" s="79" t="s">
        <v>1368</v>
      </c>
      <c r="H6" s="79"/>
      <c r="I6" s="79" t="s">
        <v>1369</v>
      </c>
      <c r="J6" s="82" t="s">
        <v>1370</v>
      </c>
      <c r="K6" s="79" t="s">
        <v>1371</v>
      </c>
      <c r="L6" s="79" t="s">
        <v>1372</v>
      </c>
      <c r="M6" s="32" t="s">
        <v>1277</v>
      </c>
      <c r="N6" t="s">
        <v>1717</v>
      </c>
    </row>
    <row r="7" spans="1:14" ht="16">
      <c r="A7" s="32" t="s">
        <v>1335</v>
      </c>
      <c r="B7" s="32" t="s">
        <v>1373</v>
      </c>
      <c r="C7" s="79" t="s">
        <v>1374</v>
      </c>
      <c r="D7" s="80"/>
      <c r="E7" s="79" t="s">
        <v>1375</v>
      </c>
      <c r="F7" s="79" t="s">
        <v>1376</v>
      </c>
      <c r="G7" s="79" t="s">
        <v>1377</v>
      </c>
      <c r="H7" s="79"/>
      <c r="I7" s="79" t="s">
        <v>1378</v>
      </c>
      <c r="J7" s="82" t="s">
        <v>1379</v>
      </c>
      <c r="K7" s="79" t="s">
        <v>1380</v>
      </c>
      <c r="L7" s="79" t="s">
        <v>1381</v>
      </c>
      <c r="M7" s="32" t="s">
        <v>1720</v>
      </c>
      <c r="N7" t="s">
        <v>1719</v>
      </c>
    </row>
    <row r="8" spans="1:14" ht="16">
      <c r="A8" s="32" t="s">
        <v>1335</v>
      </c>
      <c r="B8" s="32" t="s">
        <v>1382</v>
      </c>
      <c r="C8" s="79" t="s">
        <v>1383</v>
      </c>
      <c r="D8" s="80"/>
      <c r="E8" s="79" t="s">
        <v>1384</v>
      </c>
      <c r="F8" s="79" t="s">
        <v>1385</v>
      </c>
      <c r="G8" s="79" t="s">
        <v>1386</v>
      </c>
      <c r="H8" s="79"/>
      <c r="I8" s="79" t="s">
        <v>1387</v>
      </c>
      <c r="J8" s="81" t="s">
        <v>1388</v>
      </c>
      <c r="K8" s="79" t="s">
        <v>1389</v>
      </c>
      <c r="L8" s="79" t="s">
        <v>1390</v>
      </c>
      <c r="M8" s="32" t="s">
        <v>1721</v>
      </c>
      <c r="N8" s="19" t="s">
        <v>1722</v>
      </c>
    </row>
    <row r="9" spans="1:14" ht="16">
      <c r="A9" s="32" t="s">
        <v>1335</v>
      </c>
      <c r="B9" s="32" t="s">
        <v>1391</v>
      </c>
      <c r="C9" s="79" t="s">
        <v>1392</v>
      </c>
      <c r="D9" s="80"/>
      <c r="E9" s="79" t="s">
        <v>1393</v>
      </c>
      <c r="F9" s="79" t="s">
        <v>1394</v>
      </c>
      <c r="G9" s="79" t="s">
        <v>1395</v>
      </c>
      <c r="H9" s="79"/>
      <c r="I9" s="79" t="s">
        <v>1396</v>
      </c>
      <c r="J9" s="81" t="s">
        <v>1397</v>
      </c>
      <c r="K9" s="79" t="s">
        <v>1398</v>
      </c>
      <c r="L9" s="79" t="s">
        <v>1399</v>
      </c>
      <c r="M9" s="32" t="s">
        <v>226</v>
      </c>
      <c r="N9" s="19" t="s">
        <v>1723</v>
      </c>
    </row>
    <row r="10" spans="1:14" ht="16">
      <c r="A10" s="32" t="s">
        <v>1335</v>
      </c>
      <c r="B10" s="32" t="s">
        <v>1400</v>
      </c>
      <c r="C10" s="79" t="s">
        <v>1401</v>
      </c>
      <c r="D10" s="80"/>
      <c r="E10" s="79" t="s">
        <v>1402</v>
      </c>
      <c r="F10" s="79" t="s">
        <v>1403</v>
      </c>
      <c r="G10" s="79" t="s">
        <v>1404</v>
      </c>
      <c r="H10" s="79"/>
      <c r="I10" s="79" t="s">
        <v>1405</v>
      </c>
      <c r="J10" s="81" t="s">
        <v>1406</v>
      </c>
      <c r="K10" s="79" t="s">
        <v>1407</v>
      </c>
      <c r="L10" s="79" t="s">
        <v>1408</v>
      </c>
      <c r="M10" s="32" t="s">
        <v>685</v>
      </c>
      <c r="N10" s="19" t="s">
        <v>1724</v>
      </c>
    </row>
    <row r="11" spans="1:14" ht="16">
      <c r="A11" s="32" t="s">
        <v>1335</v>
      </c>
      <c r="B11" s="32" t="s">
        <v>1409</v>
      </c>
      <c r="C11" s="79" t="s">
        <v>1410</v>
      </c>
      <c r="D11" s="80" t="s">
        <v>1411</v>
      </c>
      <c r="E11" s="79" t="s">
        <v>1412</v>
      </c>
      <c r="F11" s="79" t="s">
        <v>1413</v>
      </c>
      <c r="G11" s="79" t="s">
        <v>1414</v>
      </c>
      <c r="H11" s="79"/>
      <c r="I11" s="79" t="s">
        <v>1415</v>
      </c>
      <c r="J11" s="81" t="s">
        <v>1416</v>
      </c>
      <c r="K11" s="79" t="s">
        <v>1417</v>
      </c>
      <c r="L11" s="79" t="s">
        <v>1418</v>
      </c>
      <c r="M11" s="32" t="s">
        <v>1725</v>
      </c>
      <c r="N11" s="19" t="s">
        <v>1726</v>
      </c>
    </row>
    <row r="12" spans="1:14" ht="16">
      <c r="A12" s="32" t="s">
        <v>1335</v>
      </c>
      <c r="B12" s="32" t="s">
        <v>1419</v>
      </c>
      <c r="C12" s="79" t="s">
        <v>1420</v>
      </c>
      <c r="D12" s="80"/>
      <c r="E12" s="79" t="s">
        <v>1421</v>
      </c>
      <c r="F12" s="79" t="s">
        <v>1422</v>
      </c>
      <c r="G12" s="79" t="s">
        <v>1423</v>
      </c>
      <c r="H12" s="79"/>
      <c r="I12" s="79" t="s">
        <v>1424</v>
      </c>
      <c r="J12" s="82" t="s">
        <v>1425</v>
      </c>
      <c r="K12" s="79" t="s">
        <v>1426</v>
      </c>
      <c r="L12" s="79" t="s">
        <v>1427</v>
      </c>
      <c r="M12" s="32" t="s">
        <v>1727</v>
      </c>
      <c r="N12" s="19" t="s">
        <v>1728</v>
      </c>
    </row>
    <row r="13" spans="1:14" ht="16">
      <c r="A13" s="32" t="s">
        <v>1335</v>
      </c>
      <c r="B13" s="32" t="s">
        <v>1428</v>
      </c>
      <c r="C13" s="79" t="s">
        <v>1429</v>
      </c>
      <c r="D13" s="80"/>
      <c r="E13" s="79" t="s">
        <v>1430</v>
      </c>
      <c r="F13" s="79" t="s">
        <v>1431</v>
      </c>
      <c r="G13" s="79" t="s">
        <v>1432</v>
      </c>
      <c r="H13" s="79"/>
      <c r="I13" s="79" t="s">
        <v>1433</v>
      </c>
      <c r="J13" s="81" t="s">
        <v>1434</v>
      </c>
      <c r="K13" s="79" t="s">
        <v>1435</v>
      </c>
      <c r="L13" s="79" t="s">
        <v>1436</v>
      </c>
      <c r="M13" s="32" t="s">
        <v>1278</v>
      </c>
      <c r="N13" s="19" t="s">
        <v>1729</v>
      </c>
    </row>
    <row r="14" spans="1:14" ht="16">
      <c r="A14" s="32" t="s">
        <v>1335</v>
      </c>
      <c r="B14" s="32" t="s">
        <v>1437</v>
      </c>
      <c r="C14" s="79" t="s">
        <v>1438</v>
      </c>
      <c r="D14" s="80"/>
      <c r="E14" s="79" t="s">
        <v>1439</v>
      </c>
      <c r="F14" s="79" t="s">
        <v>1440</v>
      </c>
      <c r="G14" s="79" t="s">
        <v>1441</v>
      </c>
      <c r="H14" s="79"/>
      <c r="I14" s="79" t="s">
        <v>1442</v>
      </c>
      <c r="J14" s="81" t="s">
        <v>1443</v>
      </c>
      <c r="K14" s="79" t="s">
        <v>1444</v>
      </c>
      <c r="L14" s="79" t="s">
        <v>1445</v>
      </c>
      <c r="M14" s="32" t="s">
        <v>1730</v>
      </c>
      <c r="N14" s="19" t="s">
        <v>1731</v>
      </c>
    </row>
    <row r="15" spans="1:14" ht="16">
      <c r="A15" s="32" t="s">
        <v>1335</v>
      </c>
      <c r="B15" s="32" t="s">
        <v>1446</v>
      </c>
      <c r="C15" s="79" t="s">
        <v>1447</v>
      </c>
      <c r="D15" s="80"/>
      <c r="E15" s="79" t="s">
        <v>1448</v>
      </c>
      <c r="F15" s="79" t="s">
        <v>1449</v>
      </c>
      <c r="G15" s="79" t="s">
        <v>1450</v>
      </c>
      <c r="H15" s="79"/>
      <c r="I15" s="79" t="s">
        <v>1451</v>
      </c>
      <c r="J15" s="81" t="s">
        <v>1452</v>
      </c>
      <c r="K15" s="79" t="s">
        <v>1453</v>
      </c>
      <c r="L15" s="79" t="s">
        <v>1454</v>
      </c>
      <c r="M15" s="32" t="s">
        <v>1027</v>
      </c>
      <c r="N15" s="19" t="s">
        <v>1259</v>
      </c>
    </row>
    <row r="16" spans="1:14" ht="16">
      <c r="A16" s="32" t="s">
        <v>1335</v>
      </c>
      <c r="B16" s="32" t="s">
        <v>1455</v>
      </c>
      <c r="C16" s="79" t="s">
        <v>1456</v>
      </c>
      <c r="D16" s="80"/>
      <c r="E16" s="79" t="s">
        <v>1457</v>
      </c>
      <c r="F16" s="79" t="s">
        <v>1458</v>
      </c>
      <c r="G16" s="79" t="s">
        <v>1459</v>
      </c>
      <c r="H16" s="79"/>
      <c r="I16" s="79" t="s">
        <v>1460</v>
      </c>
      <c r="J16" s="82" t="s">
        <v>1461</v>
      </c>
      <c r="K16" s="79" t="s">
        <v>1462</v>
      </c>
      <c r="L16" s="79" t="s">
        <v>1463</v>
      </c>
      <c r="M16" s="32" t="s">
        <v>1732</v>
      </c>
      <c r="N16" s="19" t="s">
        <v>1733</v>
      </c>
    </row>
    <row r="17" spans="1:13" ht="16">
      <c r="A17" s="32" t="s">
        <v>1335</v>
      </c>
      <c r="B17" s="32" t="s">
        <v>1464</v>
      </c>
      <c r="C17" s="79" t="s">
        <v>1465</v>
      </c>
      <c r="D17" s="80"/>
      <c r="E17" s="79" t="s">
        <v>1466</v>
      </c>
      <c r="F17" s="79" t="s">
        <v>1467</v>
      </c>
      <c r="G17" s="79" t="s">
        <v>1468</v>
      </c>
      <c r="H17" s="79"/>
      <c r="I17" s="79" t="s">
        <v>1469</v>
      </c>
      <c r="J17" s="81" t="s">
        <v>1470</v>
      </c>
      <c r="K17" s="79" t="s">
        <v>1471</v>
      </c>
      <c r="L17" s="79" t="s">
        <v>1472</v>
      </c>
      <c r="M17" s="32" t="s">
        <v>1464</v>
      </c>
    </row>
    <row r="18" spans="1:13" ht="16">
      <c r="A18" s="32" t="s">
        <v>1335</v>
      </c>
      <c r="B18" s="32" t="s">
        <v>1473</v>
      </c>
      <c r="C18" s="79" t="s">
        <v>1474</v>
      </c>
      <c r="D18" s="80" t="s">
        <v>1475</v>
      </c>
      <c r="E18" s="79" t="s">
        <v>1476</v>
      </c>
      <c r="F18" s="79" t="s">
        <v>1477</v>
      </c>
      <c r="G18" s="79" t="s">
        <v>1478</v>
      </c>
      <c r="H18" s="79"/>
      <c r="I18" s="79" t="s">
        <v>1479</v>
      </c>
      <c r="J18" s="82" t="s">
        <v>1480</v>
      </c>
      <c r="K18" s="79" t="s">
        <v>1481</v>
      </c>
      <c r="L18" s="79" t="s">
        <v>1482</v>
      </c>
      <c r="M18" s="32" t="s">
        <v>1473</v>
      </c>
    </row>
    <row r="19" spans="1:13" ht="16">
      <c r="A19" s="32" t="s">
        <v>1335</v>
      </c>
      <c r="B19" s="32" t="s">
        <v>1483</v>
      </c>
      <c r="C19" s="79" t="s">
        <v>1484</v>
      </c>
      <c r="D19" s="80" t="s">
        <v>1485</v>
      </c>
      <c r="E19" s="79" t="s">
        <v>1486</v>
      </c>
      <c r="F19" s="79" t="s">
        <v>1487</v>
      </c>
      <c r="G19" s="79" t="s">
        <v>1488</v>
      </c>
      <c r="H19" s="79"/>
      <c r="I19" s="79" t="s">
        <v>1489</v>
      </c>
      <c r="J19" s="81" t="s">
        <v>1490</v>
      </c>
      <c r="K19" s="79" t="s">
        <v>1491</v>
      </c>
      <c r="L19" s="79" t="s">
        <v>1492</v>
      </c>
      <c r="M19" s="32" t="s">
        <v>1483</v>
      </c>
    </row>
    <row r="20" spans="1:13" ht="16">
      <c r="A20" s="32" t="s">
        <v>1335</v>
      </c>
      <c r="B20" s="32" t="s">
        <v>1493</v>
      </c>
      <c r="C20" s="79" t="s">
        <v>1494</v>
      </c>
      <c r="D20" s="80"/>
      <c r="E20" s="79" t="s">
        <v>1495</v>
      </c>
      <c r="F20" s="79" t="s">
        <v>1496</v>
      </c>
      <c r="G20" s="79" t="s">
        <v>1497</v>
      </c>
      <c r="H20" s="79"/>
      <c r="I20" s="79" t="s">
        <v>1498</v>
      </c>
      <c r="J20" s="81" t="s">
        <v>1499</v>
      </c>
      <c r="K20" s="79" t="s">
        <v>1500</v>
      </c>
      <c r="L20" s="79" t="s">
        <v>1501</v>
      </c>
      <c r="M20" s="32" t="s">
        <v>1493</v>
      </c>
    </row>
    <row r="21" spans="1:13" ht="16">
      <c r="A21" s="32" t="s">
        <v>1335</v>
      </c>
      <c r="B21" s="32" t="s">
        <v>1502</v>
      </c>
      <c r="C21" s="79" t="s">
        <v>1494</v>
      </c>
      <c r="D21" s="80"/>
      <c r="E21" s="79" t="s">
        <v>1503</v>
      </c>
      <c r="F21" s="79" t="s">
        <v>1504</v>
      </c>
      <c r="G21" s="79" t="s">
        <v>1505</v>
      </c>
      <c r="H21" s="79"/>
      <c r="I21" s="79" t="s">
        <v>1506</v>
      </c>
      <c r="J21" s="81" t="s">
        <v>1507</v>
      </c>
      <c r="K21" s="79" t="s">
        <v>1508</v>
      </c>
      <c r="L21" s="79" t="s">
        <v>1509</v>
      </c>
      <c r="M21" s="32" t="s">
        <v>1502</v>
      </c>
    </row>
    <row r="22" spans="1:13" ht="16">
      <c r="A22" s="32" t="s">
        <v>1335</v>
      </c>
      <c r="B22" s="32" t="s">
        <v>1510</v>
      </c>
      <c r="C22" s="79" t="s">
        <v>1511</v>
      </c>
      <c r="D22" s="80"/>
      <c r="E22" s="79" t="s">
        <v>1512</v>
      </c>
      <c r="F22" s="79" t="s">
        <v>1513</v>
      </c>
      <c r="G22" s="79" t="s">
        <v>1514</v>
      </c>
      <c r="H22" s="79"/>
      <c r="I22" s="79" t="s">
        <v>1515</v>
      </c>
      <c r="J22" s="81" t="s">
        <v>1516</v>
      </c>
      <c r="K22" s="79" t="s">
        <v>1517</v>
      </c>
      <c r="L22" s="79" t="s">
        <v>1518</v>
      </c>
      <c r="M22" s="32" t="s">
        <v>1510</v>
      </c>
    </row>
    <row r="23" spans="1:13" ht="16">
      <c r="A23" s="32" t="s">
        <v>1335</v>
      </c>
      <c r="B23" s="32" t="s">
        <v>1519</v>
      </c>
      <c r="C23" s="79" t="s">
        <v>1520</v>
      </c>
      <c r="D23" s="80"/>
      <c r="E23" s="79" t="s">
        <v>1521</v>
      </c>
      <c r="F23" s="79" t="s">
        <v>1522</v>
      </c>
      <c r="G23" s="79" t="s">
        <v>1523</v>
      </c>
      <c r="H23" s="79"/>
      <c r="I23" s="79" t="s">
        <v>1524</v>
      </c>
      <c r="J23" s="81" t="s">
        <v>1525</v>
      </c>
      <c r="K23" s="79" t="s">
        <v>1526</v>
      </c>
      <c r="L23" s="79" t="s">
        <v>1527</v>
      </c>
      <c r="M23" s="32" t="s">
        <v>1519</v>
      </c>
    </row>
    <row r="24" spans="1:13" ht="16">
      <c r="A24" s="32" t="s">
        <v>1335</v>
      </c>
      <c r="B24" s="32" t="s">
        <v>1528</v>
      </c>
      <c r="C24" s="79" t="s">
        <v>1529</v>
      </c>
      <c r="D24" s="80"/>
      <c r="E24" s="79" t="s">
        <v>1530</v>
      </c>
      <c r="F24" s="79" t="s">
        <v>1531</v>
      </c>
      <c r="G24" s="79" t="s">
        <v>1532</v>
      </c>
      <c r="H24" s="79"/>
      <c r="I24" s="79" t="s">
        <v>1533</v>
      </c>
      <c r="J24" s="81" t="s">
        <v>1534</v>
      </c>
      <c r="K24" s="79" t="s">
        <v>1535</v>
      </c>
      <c r="L24" s="79" t="s">
        <v>1536</v>
      </c>
      <c r="M24" s="32" t="s">
        <v>1528</v>
      </c>
    </row>
    <row r="25" spans="1:13" ht="16">
      <c r="A25" s="32" t="s">
        <v>1335</v>
      </c>
      <c r="B25" s="32" t="s">
        <v>1537</v>
      </c>
      <c r="C25" s="79" t="s">
        <v>1529</v>
      </c>
      <c r="D25" s="80"/>
      <c r="E25" s="79" t="s">
        <v>1538</v>
      </c>
      <c r="F25" s="79" t="s">
        <v>1539</v>
      </c>
      <c r="G25" s="79" t="s">
        <v>1540</v>
      </c>
      <c r="H25" s="79"/>
      <c r="I25" s="79" t="s">
        <v>1541</v>
      </c>
      <c r="J25" s="81" t="s">
        <v>1542</v>
      </c>
      <c r="K25" s="79" t="s">
        <v>1543</v>
      </c>
      <c r="L25" s="79" t="s">
        <v>1544</v>
      </c>
      <c r="M25" s="32" t="s">
        <v>1537</v>
      </c>
    </row>
    <row r="26" spans="1:13" ht="16">
      <c r="A26" s="32" t="s">
        <v>1335</v>
      </c>
      <c r="B26" s="32" t="s">
        <v>1545</v>
      </c>
      <c r="C26" s="79" t="s">
        <v>1546</v>
      </c>
      <c r="D26" s="80"/>
      <c r="E26" s="79" t="s">
        <v>1547</v>
      </c>
      <c r="F26" s="79" t="s">
        <v>1548</v>
      </c>
      <c r="G26" s="79" t="s">
        <v>1549</v>
      </c>
      <c r="H26" s="79"/>
      <c r="I26" s="79" t="s">
        <v>1550</v>
      </c>
      <c r="J26" s="81" t="s">
        <v>1551</v>
      </c>
      <c r="K26" s="79" t="s">
        <v>1552</v>
      </c>
      <c r="L26" s="79" t="s">
        <v>1553</v>
      </c>
      <c r="M26" s="32" t="s">
        <v>1545</v>
      </c>
    </row>
    <row r="27" spans="1:13" ht="16">
      <c r="A27" s="32" t="s">
        <v>1335</v>
      </c>
      <c r="B27" s="32" t="s">
        <v>1554</v>
      </c>
      <c r="C27" s="79" t="s">
        <v>1555</v>
      </c>
      <c r="D27" s="80"/>
      <c r="E27" s="79" t="s">
        <v>1556</v>
      </c>
      <c r="F27" s="79" t="s">
        <v>1557</v>
      </c>
      <c r="G27" s="79" t="s">
        <v>1558</v>
      </c>
      <c r="H27" s="79"/>
      <c r="I27" s="79" t="s">
        <v>1559</v>
      </c>
      <c r="J27" s="81" t="s">
        <v>1560</v>
      </c>
      <c r="K27" s="79" t="s">
        <v>1561</v>
      </c>
      <c r="L27" s="79" t="s">
        <v>1562</v>
      </c>
      <c r="M27" s="32" t="s">
        <v>1554</v>
      </c>
    </row>
    <row r="28" spans="1:13" ht="16">
      <c r="A28" s="32" t="s">
        <v>1335</v>
      </c>
      <c r="B28" s="32" t="s">
        <v>1563</v>
      </c>
      <c r="C28" s="79" t="s">
        <v>1564</v>
      </c>
      <c r="D28" s="80"/>
      <c r="E28" s="79" t="s">
        <v>1565</v>
      </c>
      <c r="F28" s="79" t="s">
        <v>1566</v>
      </c>
      <c r="G28" s="79" t="s">
        <v>1567</v>
      </c>
      <c r="H28" s="79"/>
      <c r="I28" s="79" t="s">
        <v>1568</v>
      </c>
      <c r="J28" s="81" t="s">
        <v>1569</v>
      </c>
      <c r="K28" s="79" t="s">
        <v>1570</v>
      </c>
      <c r="L28" s="79" t="s">
        <v>1571</v>
      </c>
      <c r="M28" s="32" t="s">
        <v>1563</v>
      </c>
    </row>
    <row r="29" spans="1:13" ht="16">
      <c r="A29" s="32" t="s">
        <v>1335</v>
      </c>
      <c r="B29" s="32" t="s">
        <v>1572</v>
      </c>
      <c r="C29" s="79" t="s">
        <v>1573</v>
      </c>
      <c r="D29" s="80"/>
      <c r="E29" s="79" t="s">
        <v>1574</v>
      </c>
      <c r="F29" s="79" t="s">
        <v>1575</v>
      </c>
      <c r="G29" s="79" t="s">
        <v>1576</v>
      </c>
      <c r="H29" s="79"/>
      <c r="I29" s="79" t="s">
        <v>1577</v>
      </c>
      <c r="J29" s="81" t="s">
        <v>1578</v>
      </c>
      <c r="K29" s="79" t="s">
        <v>1579</v>
      </c>
      <c r="L29" s="79" t="s">
        <v>1580</v>
      </c>
      <c r="M29" s="32" t="s">
        <v>1572</v>
      </c>
    </row>
    <row r="30" spans="1:13" ht="16">
      <c r="A30" s="32" t="s">
        <v>1335</v>
      </c>
      <c r="B30" s="32" t="s">
        <v>1581</v>
      </c>
      <c r="C30" s="79" t="s">
        <v>1582</v>
      </c>
      <c r="D30" s="80"/>
      <c r="E30" s="79" t="s">
        <v>1583</v>
      </c>
      <c r="F30" s="79" t="s">
        <v>1584</v>
      </c>
      <c r="G30" s="79" t="s">
        <v>1585</v>
      </c>
      <c r="H30" s="79"/>
      <c r="I30" s="79" t="s">
        <v>1586</v>
      </c>
      <c r="J30" s="81" t="s">
        <v>1587</v>
      </c>
      <c r="K30" s="79" t="s">
        <v>1588</v>
      </c>
      <c r="L30" s="79" t="s">
        <v>1589</v>
      </c>
      <c r="M30" s="32" t="s">
        <v>1581</v>
      </c>
    </row>
    <row r="31" spans="1:13" ht="16">
      <c r="A31" s="32" t="s">
        <v>1335</v>
      </c>
      <c r="B31" s="32" t="s">
        <v>1590</v>
      </c>
      <c r="C31" s="79" t="s">
        <v>1591</v>
      </c>
      <c r="D31" s="80"/>
      <c r="E31" s="79" t="s">
        <v>1592</v>
      </c>
      <c r="F31" s="79" t="s">
        <v>1593</v>
      </c>
      <c r="G31" s="79" t="s">
        <v>1594</v>
      </c>
      <c r="H31" s="79"/>
      <c r="I31" s="79" t="s">
        <v>1595</v>
      </c>
      <c r="J31" s="81" t="s">
        <v>1596</v>
      </c>
      <c r="K31" s="79" t="s">
        <v>1597</v>
      </c>
      <c r="L31" s="79" t="s">
        <v>1598</v>
      </c>
      <c r="M31" s="32" t="s">
        <v>1590</v>
      </c>
    </row>
    <row r="32" spans="1:13" ht="16">
      <c r="A32" s="32" t="s">
        <v>1335</v>
      </c>
      <c r="B32" s="32" t="s">
        <v>1599</v>
      </c>
      <c r="C32" s="79" t="s">
        <v>1600</v>
      </c>
      <c r="D32" s="83" t="s">
        <v>1601</v>
      </c>
      <c r="E32" s="79" t="s">
        <v>1602</v>
      </c>
      <c r="F32" s="79" t="s">
        <v>1603</v>
      </c>
      <c r="G32" s="79" t="s">
        <v>1604</v>
      </c>
      <c r="H32" s="79"/>
      <c r="I32" s="79" t="s">
        <v>1605</v>
      </c>
      <c r="J32" s="81" t="s">
        <v>1606</v>
      </c>
      <c r="K32" s="79" t="s">
        <v>1607</v>
      </c>
      <c r="L32" s="79" t="s">
        <v>1608</v>
      </c>
      <c r="M32" s="32" t="s">
        <v>1599</v>
      </c>
    </row>
    <row r="33" spans="1:13" ht="16">
      <c r="A33" s="32" t="s">
        <v>1335</v>
      </c>
      <c r="B33" s="32" t="s">
        <v>1609</v>
      </c>
      <c r="C33" s="79" t="s">
        <v>1610</v>
      </c>
      <c r="D33" s="80" t="s">
        <v>1611</v>
      </c>
      <c r="E33" s="79">
        <v>158.715</v>
      </c>
      <c r="F33" s="79" t="s">
        <v>1612</v>
      </c>
      <c r="G33" s="79" t="s">
        <v>1613</v>
      </c>
      <c r="H33" s="79"/>
      <c r="I33" s="79" t="s">
        <v>1614</v>
      </c>
      <c r="J33" s="82" t="s">
        <v>1615</v>
      </c>
      <c r="K33" s="79" t="s">
        <v>1616</v>
      </c>
      <c r="L33" s="79" t="s">
        <v>1617</v>
      </c>
      <c r="M33" s="32" t="s">
        <v>1609</v>
      </c>
    </row>
    <row r="34" spans="1:13" ht="16">
      <c r="A34" s="32" t="s">
        <v>1335</v>
      </c>
      <c r="B34" s="32" t="s">
        <v>1618</v>
      </c>
      <c r="C34" s="79" t="s">
        <v>1619</v>
      </c>
      <c r="D34" s="83" t="s">
        <v>1601</v>
      </c>
      <c r="E34" s="79" t="s">
        <v>1620</v>
      </c>
      <c r="F34" s="79" t="s">
        <v>1621</v>
      </c>
      <c r="G34" s="79" t="s">
        <v>1622</v>
      </c>
      <c r="H34" s="79"/>
      <c r="I34" s="79" t="s">
        <v>1623</v>
      </c>
      <c r="J34" s="81" t="s">
        <v>1624</v>
      </c>
      <c r="K34" s="79" t="s">
        <v>1625</v>
      </c>
      <c r="L34" s="79" t="s">
        <v>1626</v>
      </c>
      <c r="M34" s="32" t="s">
        <v>1618</v>
      </c>
    </row>
    <row r="35" spans="1:13" ht="16">
      <c r="A35" s="32" t="s">
        <v>1335</v>
      </c>
      <c r="B35" s="32" t="s">
        <v>1627</v>
      </c>
      <c r="C35" s="79" t="s">
        <v>1628</v>
      </c>
      <c r="D35" s="80"/>
      <c r="E35" s="79" t="s">
        <v>1629</v>
      </c>
      <c r="F35" s="79" t="s">
        <v>1630</v>
      </c>
      <c r="G35" s="79" t="s">
        <v>1631</v>
      </c>
      <c r="H35" s="79"/>
      <c r="I35" s="79" t="s">
        <v>1632</v>
      </c>
      <c r="J35" s="81" t="s">
        <v>1633</v>
      </c>
      <c r="K35" s="79" t="s">
        <v>1634</v>
      </c>
      <c r="L35" s="79" t="s">
        <v>1635</v>
      </c>
      <c r="M35" s="32" t="s">
        <v>1627</v>
      </c>
    </row>
    <row r="36" spans="1:13" ht="16">
      <c r="A36" s="32" t="s">
        <v>1335</v>
      </c>
      <c r="B36" s="32" t="s">
        <v>1636</v>
      </c>
      <c r="C36" s="79" t="s">
        <v>1637</v>
      </c>
      <c r="D36" s="80" t="s">
        <v>1638</v>
      </c>
      <c r="E36" s="79">
        <v>831.01400000000001</v>
      </c>
      <c r="F36" s="79" t="s">
        <v>1639</v>
      </c>
      <c r="G36" s="79" t="s">
        <v>1640</v>
      </c>
      <c r="H36" s="79"/>
      <c r="I36" s="79" t="s">
        <v>1641</v>
      </c>
      <c r="J36" s="81" t="s">
        <v>1642</v>
      </c>
      <c r="K36" s="79" t="s">
        <v>1643</v>
      </c>
      <c r="L36" s="79" t="s">
        <v>1644</v>
      </c>
      <c r="M36" s="32" t="s">
        <v>1636</v>
      </c>
    </row>
    <row r="37" spans="1:13" ht="16">
      <c r="A37" s="32" t="s">
        <v>1335</v>
      </c>
      <c r="B37" s="32" t="s">
        <v>1645</v>
      </c>
      <c r="C37" s="79" t="s">
        <v>1646</v>
      </c>
      <c r="D37" s="80"/>
      <c r="E37" s="79">
        <v>11.112</v>
      </c>
      <c r="F37" s="79" t="s">
        <v>1647</v>
      </c>
      <c r="G37" s="79" t="s">
        <v>1648</v>
      </c>
      <c r="H37" s="79"/>
      <c r="I37" s="79" t="s">
        <v>1649</v>
      </c>
      <c r="J37" s="81" t="s">
        <v>1650</v>
      </c>
      <c r="K37" s="79" t="s">
        <v>1651</v>
      </c>
      <c r="L37" s="79" t="s">
        <v>1652</v>
      </c>
      <c r="M37" s="32" t="s">
        <v>1645</v>
      </c>
    </row>
    <row r="38" spans="1:13" ht="16">
      <c r="A38" s="32" t="s">
        <v>1335</v>
      </c>
      <c r="B38" s="32" t="s">
        <v>1653</v>
      </c>
      <c r="C38" s="79" t="s">
        <v>1654</v>
      </c>
      <c r="D38" s="80"/>
      <c r="E38" s="79">
        <v>227.75</v>
      </c>
      <c r="F38" s="79" t="s">
        <v>1655</v>
      </c>
      <c r="G38" s="79" t="s">
        <v>1656</v>
      </c>
      <c r="H38" s="79"/>
      <c r="I38" s="79" t="s">
        <v>1657</v>
      </c>
      <c r="J38" s="82" t="s">
        <v>1658</v>
      </c>
      <c r="K38" s="79" t="s">
        <v>1659</v>
      </c>
      <c r="L38" s="79" t="s">
        <v>1660</v>
      </c>
      <c r="M38" s="32" t="s">
        <v>1653</v>
      </c>
    </row>
    <row r="39" spans="1:13" ht="16">
      <c r="A39" s="32" t="s">
        <v>1335</v>
      </c>
      <c r="B39" s="32" t="s">
        <v>1661</v>
      </c>
      <c r="C39" s="79" t="s">
        <v>1654</v>
      </c>
      <c r="D39" s="80"/>
      <c r="E39" s="79">
        <v>433.55799999999999</v>
      </c>
      <c r="F39" s="79" t="s">
        <v>1662</v>
      </c>
      <c r="G39" s="79" t="s">
        <v>1663</v>
      </c>
      <c r="H39" s="79"/>
      <c r="I39" s="79" t="s">
        <v>1664</v>
      </c>
      <c r="J39" s="81" t="s">
        <v>1665</v>
      </c>
      <c r="K39" s="79" t="s">
        <v>1666</v>
      </c>
      <c r="L39" s="79" t="s">
        <v>1667</v>
      </c>
      <c r="M39" s="32" t="s">
        <v>1661</v>
      </c>
    </row>
    <row r="40" spans="1:13" ht="16">
      <c r="A40" s="32" t="s">
        <v>1335</v>
      </c>
      <c r="B40" s="32" t="s">
        <v>1668</v>
      </c>
      <c r="C40" s="79" t="s">
        <v>1654</v>
      </c>
      <c r="D40" s="80"/>
      <c r="E40" s="79" t="s">
        <v>1669</v>
      </c>
      <c r="F40" s="79" t="s">
        <v>1670</v>
      </c>
      <c r="G40" s="79" t="s">
        <v>1671</v>
      </c>
      <c r="H40" s="79"/>
      <c r="I40" s="79" t="s">
        <v>1672</v>
      </c>
      <c r="J40" s="82" t="s">
        <v>1673</v>
      </c>
      <c r="K40" s="79" t="s">
        <v>1674</v>
      </c>
      <c r="L40" s="79" t="s">
        <v>1675</v>
      </c>
      <c r="M40" s="32" t="s">
        <v>1668</v>
      </c>
    </row>
    <row r="41" spans="1:13" ht="16">
      <c r="A41" s="32" t="s">
        <v>1335</v>
      </c>
      <c r="B41" s="32" t="s">
        <v>1676</v>
      </c>
      <c r="C41" s="79" t="s">
        <v>1654</v>
      </c>
      <c r="D41" s="83" t="s">
        <v>1601</v>
      </c>
      <c r="E41" s="79" t="s">
        <v>1677</v>
      </c>
      <c r="F41" s="79" t="s">
        <v>1678</v>
      </c>
      <c r="G41" s="79" t="s">
        <v>1679</v>
      </c>
      <c r="H41" s="79"/>
      <c r="I41" s="79" t="s">
        <v>1680</v>
      </c>
      <c r="J41" s="81" t="s">
        <v>1681</v>
      </c>
      <c r="K41" s="79" t="s">
        <v>1682</v>
      </c>
      <c r="L41" s="79" t="s">
        <v>1683</v>
      </c>
      <c r="M41" s="32" t="s">
        <v>1676</v>
      </c>
    </row>
    <row r="42" spans="1:13" ht="16">
      <c r="A42" s="32" t="s">
        <v>1335</v>
      </c>
      <c r="B42" s="32" t="s">
        <v>1684</v>
      </c>
      <c r="C42" s="79" t="s">
        <v>1654</v>
      </c>
      <c r="D42" s="80"/>
      <c r="E42" s="79">
        <v>39.4</v>
      </c>
      <c r="F42" s="79" t="s">
        <v>1685</v>
      </c>
      <c r="G42" s="79" t="s">
        <v>1686</v>
      </c>
      <c r="H42" s="79"/>
      <c r="I42" s="79" t="s">
        <v>1687</v>
      </c>
      <c r="J42" s="81" t="s">
        <v>1688</v>
      </c>
      <c r="K42" s="79" t="s">
        <v>1689</v>
      </c>
      <c r="L42" s="79" t="s">
        <v>1690</v>
      </c>
      <c r="M42" s="32" t="s">
        <v>1684</v>
      </c>
    </row>
    <row r="43" spans="1:13" ht="16">
      <c r="A43" s="32" t="s">
        <v>1335</v>
      </c>
      <c r="B43" s="32" t="s">
        <v>1691</v>
      </c>
      <c r="C43" s="79" t="s">
        <v>1654</v>
      </c>
      <c r="D43" s="80"/>
      <c r="E43" s="79">
        <v>43</v>
      </c>
      <c r="F43" s="79" t="s">
        <v>1692</v>
      </c>
      <c r="G43" s="79" t="s">
        <v>1693</v>
      </c>
      <c r="H43" s="79"/>
      <c r="I43" s="79" t="s">
        <v>1694</v>
      </c>
      <c r="J43" s="81" t="s">
        <v>1695</v>
      </c>
      <c r="K43" s="79" t="s">
        <v>1696</v>
      </c>
      <c r="L43" s="79" t="s">
        <v>1697</v>
      </c>
      <c r="M43" s="32" t="s">
        <v>1691</v>
      </c>
    </row>
    <row r="44" spans="1:13" ht="16">
      <c r="A44" s="32" t="s">
        <v>1335</v>
      </c>
      <c r="B44" s="32" t="s">
        <v>1698</v>
      </c>
      <c r="C44" s="79" t="s">
        <v>1699</v>
      </c>
      <c r="D44" s="83" t="s">
        <v>1601</v>
      </c>
      <c r="E44" s="79">
        <v>223.64500000000001</v>
      </c>
      <c r="F44" s="79" t="s">
        <v>1700</v>
      </c>
      <c r="G44" s="79" t="s">
        <v>1701</v>
      </c>
      <c r="H44" s="79"/>
      <c r="I44" s="79" t="s">
        <v>1702</v>
      </c>
      <c r="J44" s="81" t="s">
        <v>1703</v>
      </c>
      <c r="K44" s="79" t="s">
        <v>1704</v>
      </c>
      <c r="L44" s="79" t="s">
        <v>1705</v>
      </c>
      <c r="M44" s="32" t="s">
        <v>1698</v>
      </c>
    </row>
    <row r="45" spans="1:13" ht="16">
      <c r="A45" s="32" t="s">
        <v>1335</v>
      </c>
      <c r="B45" s="32" t="s">
        <v>1706</v>
      </c>
      <c r="C45" s="79" t="s">
        <v>1699</v>
      </c>
      <c r="D45" s="80"/>
      <c r="E45" s="79">
        <v>152.572</v>
      </c>
      <c r="F45" s="79" t="s">
        <v>1707</v>
      </c>
      <c r="G45" s="79" t="s">
        <v>1708</v>
      </c>
      <c r="H45" s="79"/>
      <c r="I45" s="79" t="s">
        <v>1709</v>
      </c>
      <c r="J45" s="81" t="s">
        <v>1710</v>
      </c>
      <c r="K45" s="79" t="s">
        <v>1711</v>
      </c>
      <c r="L45" s="79" t="s">
        <v>1712</v>
      </c>
      <c r="M45" s="32" t="s">
        <v>1706</v>
      </c>
    </row>
    <row r="46" spans="1:13" ht="16">
      <c r="A46" s="32" t="s">
        <v>1335</v>
      </c>
      <c r="B46" s="32" t="s">
        <v>1713</v>
      </c>
      <c r="C46" s="79" t="s">
        <v>1699</v>
      </c>
      <c r="M46" s="32" t="s">
        <v>1713</v>
      </c>
    </row>
  </sheetData>
  <hyperlinks>
    <hyperlink ref="A2" r:id="rId1" display="https://www.dataroma.com/m/stock.php?sym=AAPL" xr:uid="{7951E114-6F43-9B46-A433-BF77C3DC204C}"/>
    <hyperlink ref="A3" r:id="rId2" tooltip="Holding/activity history" display="https://www.dataroma.com/m/hist/hist.php?f=BRK&amp;s=BAC" xr:uid="{6EDD0C53-FB3E-9E4F-A5F4-58AAB9CDC5C8}"/>
    <hyperlink ref="B3" r:id="rId3" display="https://www.dataroma.com/m/stock.php?sym=BAC" xr:uid="{B963E702-82EF-1543-98BB-F767F70FCB5E}"/>
    <hyperlink ref="A4" r:id="rId4" tooltip="Holding/activity history" display="https://www.dataroma.com/m/hist/hist.php?f=BRK&amp;s=AXP" xr:uid="{13EB762B-903A-AF4C-91B3-BECA6432253B}"/>
    <hyperlink ref="B4" r:id="rId5" display="https://www.dataroma.com/m/stock.php?sym=AXP" xr:uid="{B9BC3FF0-1935-1B45-B74E-3D8C96742FA6}"/>
    <hyperlink ref="A5" r:id="rId6" tooltip="Holding/activity history" display="https://www.dataroma.com/m/hist/hist.php?f=BRK&amp;s=KO" xr:uid="{7BD4EC1A-1E01-C147-906B-549BEDF5BC71}"/>
    <hyperlink ref="B5" r:id="rId7" display="https://www.dataroma.com/m/stock.php?sym=KO" xr:uid="{0A056598-8072-344C-BB3C-D17EB1F1477A}"/>
    <hyperlink ref="A6" r:id="rId8" tooltip="Holding/activity history" display="https://www.dataroma.com/m/hist/hist.php?f=BRK&amp;s=CVX" xr:uid="{DC848FA9-A52A-F24E-93DA-D57332123EFD}"/>
    <hyperlink ref="B6" r:id="rId9" display="https://www.dataroma.com/m/stock.php?sym=CVX" xr:uid="{A6C7564D-CACD-F042-A987-B4450EBAA79D}"/>
    <hyperlink ref="A7" r:id="rId10" tooltip="Holding/activity history" display="https://www.dataroma.com/m/hist/hist.php?f=BRK&amp;s=OXY" xr:uid="{1417EAC7-8584-2248-825B-01E365682315}"/>
    <hyperlink ref="B7" r:id="rId11" display="https://www.dataroma.com/m/stock.php?sym=OXY" xr:uid="{6D983246-91EF-5642-BAAC-DFEBAD0B719A}"/>
    <hyperlink ref="A8" r:id="rId12" tooltip="Holding/activity history" display="https://www.dataroma.com/m/hist/hist.php?f=BRK&amp;s=KHC" xr:uid="{C125DA04-B0AA-4041-9D12-DE1D9C4BD442}"/>
    <hyperlink ref="B8" r:id="rId13" display="https://www.dataroma.com/m/stock.php?sym=KHC" xr:uid="{AEC3BAE5-7814-4D4F-AB07-420D3C80729E}"/>
    <hyperlink ref="A9" r:id="rId14" tooltip="Holding/activity history" display="https://www.dataroma.com/m/hist/hist.php?f=BRK&amp;s=MCO" xr:uid="{339B89C0-8525-1C42-9D99-FBD663E90640}"/>
    <hyperlink ref="B9" r:id="rId15" display="https://www.dataroma.com/m/stock.php?sym=MCO" xr:uid="{42EC1235-C995-E143-81C6-45B86AB12FF4}"/>
    <hyperlink ref="A10" r:id="rId16" tooltip="Holding/activity history" display="https://www.dataroma.com/m/hist/hist.php?f=BRK&amp;s=DVA" xr:uid="{21034A1B-3A92-CF4E-B999-0DD87B3A54DC}"/>
    <hyperlink ref="B10" r:id="rId17" display="https://www.dataroma.com/m/stock.php?sym=DVA" xr:uid="{51CA7E9D-FC3D-3F44-8305-40AE4F244C20}"/>
    <hyperlink ref="A11" r:id="rId18" tooltip="Holding/activity history" display="https://www.dataroma.com/m/hist/hist.php?f=BRK&amp;s=HPQ" xr:uid="{97C7AF5D-966D-8744-A432-F412D9C6F574}"/>
    <hyperlink ref="B11" r:id="rId19" display="https://www.dataroma.com/m/stock.php?sym=HPQ" xr:uid="{D7FE27D4-9850-654B-84B1-6D4E89FD307A}"/>
    <hyperlink ref="A12" r:id="rId20" tooltip="Holding/activity history" display="https://www.dataroma.com/m/hist/hist.php?f=BRK&amp;s=VRSN" xr:uid="{36F3F3AF-8B1C-9D4C-B999-82C65AC319C4}"/>
    <hyperlink ref="B12" r:id="rId21" display="https://www.dataroma.com/m/stock.php?sym=VRSN" xr:uid="{0B8AC6A9-FEA4-724E-A6F4-B3230E3ACAC1}"/>
    <hyperlink ref="A13" r:id="rId22" tooltip="Holding/activity history" display="https://www.dataroma.com/m/hist/hist.php?f=BRK&amp;s=C" xr:uid="{64FEEFD5-7D2E-A94A-94C3-CF89D22BF46B}"/>
    <hyperlink ref="B13" r:id="rId23" display="https://www.dataroma.com/m/stock.php?sym=C" xr:uid="{370F399F-F885-9147-9DE6-2037A64B5FE4}"/>
    <hyperlink ref="A14" r:id="rId24" tooltip="Holding/activity history" display="https://www.dataroma.com/m/hist/hist.php?f=BRK&amp;s=KR" xr:uid="{C83C8A72-C82B-E84A-B22A-B5548DAC3EA8}"/>
    <hyperlink ref="B14" r:id="rId25" display="https://www.dataroma.com/m/stock.php?sym=KR" xr:uid="{78FEBA0A-C40A-7640-9971-ABBEA2274C9F}"/>
    <hyperlink ref="A15" r:id="rId26" tooltip="Holding/activity history" display="https://www.dataroma.com/m/hist/hist.php?f=BRK&amp;s=V" xr:uid="{1F1045CD-0778-A642-99B6-A8EAB8481BAF}"/>
    <hyperlink ref="B15" r:id="rId27" display="https://www.dataroma.com/m/stock.php?sym=V" xr:uid="{AD347D64-EE5B-214D-8525-43EE632915E3}"/>
    <hyperlink ref="A16" r:id="rId28" tooltip="Holding/activity history" display="https://www.dataroma.com/m/hist/hist.php?f=BRK&amp;s=CHTR" xr:uid="{16CAFF71-C39F-5F4E-AD35-C99A839D1792}"/>
    <hyperlink ref="B16" r:id="rId29" display="https://www.dataroma.com/m/stock.php?sym=CHTR" xr:uid="{06952676-62D1-E54C-91B8-3B5930F5788D}"/>
    <hyperlink ref="A17" r:id="rId30" tooltip="Holding/activity history" display="https://www.dataroma.com/m/hist/hist.php?f=BRK&amp;s=MA" xr:uid="{1FFFD797-C670-C144-A66E-DC748A34C499}"/>
    <hyperlink ref="B17" r:id="rId31" display="https://www.dataroma.com/m/stock.php?sym=MA" xr:uid="{59EA28FC-2188-B040-9839-D98254C40A6B}"/>
    <hyperlink ref="A18" r:id="rId32" tooltip="Holding/activity history" display="https://www.dataroma.com/m/hist/hist.php?f=BRK&amp;s=AON" xr:uid="{9CF6F38D-83C3-3A44-B5A3-030852EB9DCC}"/>
    <hyperlink ref="B18" r:id="rId33" display="https://www.dataroma.com/m/stock.php?sym=AON" xr:uid="{40226155-CC24-B44A-BF70-84BB6AE6ED9F}"/>
    <hyperlink ref="A19" r:id="rId34" tooltip="Holding/activity history" display="https://www.dataroma.com/m/hist/hist.php?f=BRK&amp;s=AMZN" xr:uid="{5462425C-B4EC-8D48-8879-768485772210}"/>
    <hyperlink ref="B19" r:id="rId35" display="https://www.dataroma.com/m/stock.php?sym=AMZN" xr:uid="{BB0F4FD5-8768-A946-8D14-518BE970CD41}"/>
    <hyperlink ref="A20" r:id="rId36" tooltip="Holding/activity history" display="https://www.dataroma.com/m/hist/hist.php?f=BRK&amp;s=COF" xr:uid="{99A6A51D-3C9B-0844-9B4A-18B1E0DA3472}"/>
    <hyperlink ref="B20" r:id="rId37" display="https://www.dataroma.com/m/stock.php?sym=COF" xr:uid="{7635CAE8-8468-4648-BC7C-C8A96A24BBBB}"/>
    <hyperlink ref="A21" r:id="rId38" tooltip="Holding/activity history" display="https://www.dataroma.com/m/hist/hist.php?f=BRK&amp;s=PARA" xr:uid="{E5B92C74-D41A-FB4E-AAE4-88609AF4BF5A}"/>
    <hyperlink ref="B21" r:id="rId39" display="https://www.dataroma.com/m/stock.php?sym=PARA" xr:uid="{FCBD423D-B408-B345-818B-59F76E02FB3D}"/>
    <hyperlink ref="A22" r:id="rId40" tooltip="Holding/activity history" display="https://www.dataroma.com/m/hist/hist.php?f=BRK&amp;s=LSXMK" xr:uid="{BCD2057E-672C-084F-9E1F-E58B05C71164}"/>
    <hyperlink ref="B22" r:id="rId41" display="https://www.dataroma.com/m/stock.php?sym=LSXMK" xr:uid="{8C0EEF80-F223-8242-BDFC-E53D94285228}"/>
    <hyperlink ref="A23" r:id="rId42" tooltip="Holding/activity history" display="https://www.dataroma.com/m/hist/hist.php?f=BRK&amp;s=SNOW" xr:uid="{7EE8F7BB-11F5-FC45-898C-35DE0A28CB55}"/>
    <hyperlink ref="B23" r:id="rId43" display="https://www.dataroma.com/m/stock.php?sym=SNOW" xr:uid="{B8141A58-87A2-0445-92BD-3A7D495977C0}"/>
    <hyperlink ref="A24" r:id="rId44" tooltip="Holding/activity history" display="https://www.dataroma.com/m/hist/hist.php?f=BRK&amp;s=ALLY" xr:uid="{85EEBA47-A918-C940-B1E4-73EF7BBA82B8}"/>
    <hyperlink ref="B24" r:id="rId45" display="https://www.dataroma.com/m/stock.php?sym=ALLY" xr:uid="{E9BF0044-3232-B148-A251-EEF05AF7A057}"/>
    <hyperlink ref="A25" r:id="rId46" tooltip="Holding/activity history" display="https://www.dataroma.com/m/hist/hist.php?f=BRK&amp;s=NU" xr:uid="{C1C88C04-71EA-5345-9DF0-07C766A20A68}"/>
    <hyperlink ref="B25" r:id="rId47" display="https://www.dataroma.com/m/stock.php?sym=NU" xr:uid="{20CB9C6A-1E82-864F-9B30-93AEC84EF5FF}"/>
    <hyperlink ref="A26" r:id="rId48" tooltip="Holding/activity history" display="https://www.dataroma.com/m/hist/hist.php?f=BRK&amp;s=TMUS" xr:uid="{4148D268-ED2C-AC45-A576-85D4B8DCB9A8}"/>
    <hyperlink ref="B26" r:id="rId49" display="https://www.dataroma.com/m/stock.php?sym=TMUS" xr:uid="{16AF4071-EA3A-DC40-B69B-0701AB62CD62}"/>
    <hyperlink ref="A27" r:id="rId50" tooltip="Holding/activity history" display="https://www.dataroma.com/m/hist/hist.php?f=BRK&amp;s=DHI" xr:uid="{389EAA36-BFC1-1A42-B2E4-33DF73C8FC2F}"/>
    <hyperlink ref="B27" r:id="rId51" display="https://www.dataroma.com/m/stock.php?sym=DHI" xr:uid="{CBDE5F0F-094B-D04B-A0FD-E785B5E5ABA8}"/>
    <hyperlink ref="A28" r:id="rId52" tooltip="Holding/activity history" display="https://www.dataroma.com/m/hist/hist.php?f=BRK&amp;s=LSXMA" xr:uid="{2511BA4E-DB7F-504E-9465-BE85609A2B16}"/>
    <hyperlink ref="B28" r:id="rId53" display="https://www.dataroma.com/m/stock.php?sym=LSXMA" xr:uid="{4A334D84-DD07-944C-A939-705C01C8372E}"/>
    <hyperlink ref="A29" r:id="rId54" tooltip="Holding/activity history" display="https://www.dataroma.com/m/hist/hist.php?f=BRK&amp;s=FWONK" xr:uid="{8CAEC7B5-A489-A449-85D9-CA540747805C}"/>
    <hyperlink ref="B29" r:id="rId55" display="https://www.dataroma.com/m/stock.php?sym=FWONK" xr:uid="{594BC371-67E4-B240-A255-D8DD3C7A26DB}"/>
    <hyperlink ref="A30" r:id="rId56" tooltip="Holding/activity history" display="https://www.dataroma.com/m/hist/hist.php?f=BRK&amp;s=FND" xr:uid="{D5563248-C152-A14B-AB2E-B0C205A6D788}"/>
    <hyperlink ref="B30" r:id="rId57" display="https://www.dataroma.com/m/stock.php?sym=FND" xr:uid="{C16AFA9F-3B80-254F-90A8-F76059AA615A}"/>
    <hyperlink ref="A31" r:id="rId58" tooltip="Holding/activity history" display="https://www.dataroma.com/m/hist/hist.php?f=BRK&amp;s=LPX" xr:uid="{6F8DF47C-F882-1C43-9D71-24E3C7694BCA}"/>
    <hyperlink ref="B31" r:id="rId59" display="https://www.dataroma.com/m/stock.php?sym=LPX" xr:uid="{8A5B2264-BAB1-F748-88D7-05A5DD08B9C9}"/>
    <hyperlink ref="A32" r:id="rId60" tooltip="Holding/activity history" display="https://www.dataroma.com/m/hist/hist.php?f=BRK&amp;s=LLYVK" xr:uid="{26591B0F-AC56-FD41-A22C-7A1FAF67D32E}"/>
    <hyperlink ref="B32" r:id="rId61" display="https://www.dataroma.com/m/stock.php?sym=LLYVK" xr:uid="{2D70ABA9-C772-854B-9E5D-67796E6BD464}"/>
    <hyperlink ref="A33" r:id="rId62" tooltip="Holding/activity history" display="https://www.dataroma.com/m/hist/hist.php?f=BRK&amp;s=MKL" xr:uid="{BED52ED9-D039-8546-8059-BDF1837B213E}"/>
    <hyperlink ref="B33" r:id="rId63" display="https://www.dataroma.com/m/stock.php?sym=MKL" xr:uid="{FF1C6CE5-1A66-7748-9181-3B71202F9D04}"/>
    <hyperlink ref="A34" r:id="rId64" tooltip="Holding/activity history" display="https://www.dataroma.com/m/hist/hist.php?f=BRK&amp;s=LLYVA" xr:uid="{864CC442-3A04-ED4D-A0F7-5A89B19CAC01}"/>
    <hyperlink ref="B34" r:id="rId65" display="https://www.dataroma.com/m/stock.php?sym=LLYVA" xr:uid="{A519C67F-E5BA-784C-BAC1-892C17C85EEB}"/>
    <hyperlink ref="A35" r:id="rId66" tooltip="Holding/activity history" display="https://www.dataroma.com/m/hist/hist.php?f=BRK&amp;s=STNE" xr:uid="{5DA61427-FAF8-3844-B21C-C4DA46814A98}"/>
    <hyperlink ref="B35" r:id="rId67" display="https://www.dataroma.com/m/stock.php?sym=STNE" xr:uid="{A9769C12-FA98-5049-80AA-16AD25E7BF5D}"/>
    <hyperlink ref="A36" r:id="rId68" tooltip="Holding/activity history" display="https://www.dataroma.com/m/hist/hist.php?f=BRK&amp;s=GL" xr:uid="{8F6F30C2-6CAF-4A4E-B9C3-0983F98336AC}"/>
    <hyperlink ref="B36" r:id="rId69" display="https://www.dataroma.com/m/stock.php?sym=GL" xr:uid="{FCD937F2-CFE5-FC4A-B672-E8B661ABDAE6}"/>
    <hyperlink ref="A37" r:id="rId70" tooltip="Holding/activity history" display="https://www.dataroma.com/m/hist/hist.php?f=BRK&amp;s=NVR" xr:uid="{3B0FDF20-B465-B94D-8C55-CC9EA09E002B}"/>
    <hyperlink ref="B37" r:id="rId71" display="https://www.dataroma.com/m/stock.php?sym=NVR" xr:uid="{882991E2-9581-274C-A065-A377C9CE8083}"/>
    <hyperlink ref="A38" r:id="rId72" tooltip="Holding/activity history" display="https://www.dataroma.com/m/hist/hist.php?f=BRK&amp;s=DEO" xr:uid="{95270558-9582-B845-83A9-0ABEA3D00480}"/>
    <hyperlink ref="B38" r:id="rId73" display="https://www.dataroma.com/m/stock.php?sym=DEO" xr:uid="{D36AC32A-5DE9-C442-8B52-F732EF22DE50}"/>
    <hyperlink ref="A39" r:id="rId74" tooltip="Holding/activity history" display="https://www.dataroma.com/m/hist/hist.php?f=BRK&amp;s=JEF" xr:uid="{569999B5-BD01-3544-B101-47945E14F42C}"/>
    <hyperlink ref="B39" r:id="rId75" display="https://www.dataroma.com/m/stock.php?sym=JEF" xr:uid="{DDF1724B-AA28-EF40-93D2-E84BA1F8F33B}"/>
    <hyperlink ref="A40" r:id="rId76" tooltip="Holding/activity history" display="https://www.dataroma.com/m/hist/hist.php?f=BRK&amp;s=LILA" xr:uid="{90A1C28A-E3B7-1849-86EA-BB7AADD9F7F5}"/>
    <hyperlink ref="B40" r:id="rId77" display="https://www.dataroma.com/m/stock.php?sym=LILA" xr:uid="{900FFBC3-A2A0-3C4E-B582-1734FC624FE5}"/>
    <hyperlink ref="A41" r:id="rId78" tooltip="Holding/activity history" display="https://www.dataroma.com/m/hist/hist.php?f=BRK&amp;s=SIRI" xr:uid="{DC184752-F03D-3640-BABF-5159AB23BE35}"/>
    <hyperlink ref="B41" r:id="rId79" display="https://www.dataroma.com/m/stock.php?sym=SIRI" xr:uid="{7831039C-550A-464E-9183-964FC4D784C4}"/>
    <hyperlink ref="A42" r:id="rId80" tooltip="Holding/activity history" display="https://www.dataroma.com/m/hist/hist.php?f=BRK&amp;s=SPY" xr:uid="{7055D926-F0B1-F048-A861-8C268508AAC6}"/>
    <hyperlink ref="B42" r:id="rId81" display="https://www.dataroma.com/m/stock.php?sym=SPY" xr:uid="{A6EACC7A-4403-9341-9A36-2926E9EB9F6C}"/>
    <hyperlink ref="A43" r:id="rId82" tooltip="Holding/activity history" display="https://www.dataroma.com/m/hist/hist.php?f=BRK&amp;s=VOO" xr:uid="{3C4747A4-F018-5F44-87A0-BDC57877E2FE}"/>
    <hyperlink ref="B43" r:id="rId83" display="https://www.dataroma.com/m/stock.php?sym=VOO" xr:uid="{F29F1D79-15BF-1D4A-9E2B-148E94DD21C5}"/>
    <hyperlink ref="A44" r:id="rId84" tooltip="Holding/activity history" display="https://www.dataroma.com/m/hist/hist.php?f=BRK&amp;s=BATRK" xr:uid="{D5A7A0BC-7099-A045-A288-113872CA6A6E}"/>
    <hyperlink ref="B44" r:id="rId85" display="https://www.dataroma.com/m/stock.php?sym=BATRK" xr:uid="{87EB30D1-B54D-7A4B-8CA1-E1934AA94E53}"/>
    <hyperlink ref="A45" r:id="rId86" tooltip="Holding/activity history" display="https://www.dataroma.com/m/hist/hist.php?f=BRK&amp;s=LEN.B" xr:uid="{E7E2FD69-32D2-EC44-B3C5-DE3187D396D9}"/>
    <hyperlink ref="B45" r:id="rId87" display="https://www.dataroma.com/m/stock.php?sym=LEN.B" xr:uid="{2480B566-96F1-6A44-80BA-A0866DBC3D10}"/>
    <hyperlink ref="A46" r:id="rId88" tooltip="Holding/activity history" display="https://www.dataroma.com/m/hist/hist.php?f=BRK&amp;s=LILAK" xr:uid="{AC3C0EC2-E67C-0D45-9DEB-87FE0BD989AB}"/>
    <hyperlink ref="B46" r:id="rId89" display="https://www.dataroma.com/m/stock.php?sym=LILAK" xr:uid="{417911E6-B45F-AC4C-B216-298EFD0825B7}"/>
    <hyperlink ref="M3" r:id="rId90" display="https://www.dataroma.com/m/stock.php?sym=BAC" xr:uid="{F4AF4D99-B37C-B34C-9B45-7235C6402F93}"/>
    <hyperlink ref="M4" r:id="rId91" display="https://www.dataroma.com/m/stock.php?sym=AXP" xr:uid="{2E479E4F-3269-3647-BA24-C1B1F78A4EFD}"/>
    <hyperlink ref="M5" r:id="rId92" display="https://www.dataroma.com/m/stock.php?sym=KO" xr:uid="{F14BBF7E-6158-1444-90A2-DA659D2C5B5C}"/>
    <hyperlink ref="M6" r:id="rId93" display="https://www.dataroma.com/m/stock.php?sym=CVX" xr:uid="{230C948D-65E5-0C47-A807-41190FB91E44}"/>
    <hyperlink ref="M7" r:id="rId94" display="https://www.dataroma.com/m/stock.php?sym=OXY" xr:uid="{0E04BB1A-42BA-8347-8716-39ED0F21A66D}"/>
    <hyperlink ref="M8" r:id="rId95" display="https://www.dataroma.com/m/stock.php?sym=KHC" xr:uid="{EEBB79D6-078F-BA42-B860-AE20FEF01292}"/>
    <hyperlink ref="M9" r:id="rId96" display="https://www.dataroma.com/m/stock.php?sym=MCO" xr:uid="{3E64495E-F974-C84F-A12D-EE98DD5E1743}"/>
    <hyperlink ref="M10" r:id="rId97" display="https://www.dataroma.com/m/stock.php?sym=DVA" xr:uid="{191A1983-587B-D046-8258-2E89DFBEE891}"/>
    <hyperlink ref="M11" r:id="rId98" display="https://www.dataroma.com/m/stock.php?sym=HPQ" xr:uid="{249D2482-89F0-264E-A50F-D2DC6DDF814A}"/>
    <hyperlink ref="M12" r:id="rId99" display="https://www.dataroma.com/m/stock.php?sym=VRSN" xr:uid="{028D973F-DAA0-6B48-BC9E-2689531F1C4E}"/>
    <hyperlink ref="M13" r:id="rId100" display="https://www.dataroma.com/m/stock.php?sym=C" xr:uid="{FE3EB2C7-14BE-1D43-B0C1-89B60ECF60B5}"/>
    <hyperlink ref="M14" r:id="rId101" display="https://www.dataroma.com/m/stock.php?sym=KR" xr:uid="{F07C0E30-53C3-F84A-881A-A00277209E72}"/>
    <hyperlink ref="M15" r:id="rId102" display="https://www.dataroma.com/m/stock.php?sym=V" xr:uid="{17A107E0-8C5D-4041-91D5-7107639B35B7}"/>
    <hyperlink ref="M16" r:id="rId103" display="https://www.dataroma.com/m/stock.php?sym=CHTR" xr:uid="{F5F72E4A-B4F3-0946-B79C-F11E7812FCA6}"/>
    <hyperlink ref="M17" r:id="rId104" display="https://www.dataroma.com/m/stock.php?sym=MA" xr:uid="{824A2CB1-3043-0B4E-936F-6EA54E544FB4}"/>
    <hyperlink ref="M18" r:id="rId105" display="https://www.dataroma.com/m/stock.php?sym=AON" xr:uid="{39FFBBC9-BA22-774B-8A4F-57247780C7D7}"/>
    <hyperlink ref="M19" r:id="rId106" display="https://www.dataroma.com/m/stock.php?sym=AMZN" xr:uid="{5BE2E61D-2D54-DA41-8E53-9F13A18F0F12}"/>
    <hyperlink ref="M20" r:id="rId107" display="https://www.dataroma.com/m/stock.php?sym=COF" xr:uid="{0C951D9F-4916-084B-B4E5-BF6F0E18F77F}"/>
    <hyperlink ref="M21" r:id="rId108" display="https://www.dataroma.com/m/stock.php?sym=PARA" xr:uid="{F03E35C4-A2EF-3A41-B8A2-DC4A01744A4A}"/>
    <hyperlink ref="M22" r:id="rId109" display="https://www.dataroma.com/m/stock.php?sym=LSXMK" xr:uid="{E944FBAB-D3DB-C04E-8D41-C8D28CFE6F97}"/>
    <hyperlink ref="M23" r:id="rId110" display="https://www.dataroma.com/m/stock.php?sym=SNOW" xr:uid="{7994DE35-9F07-0F40-B571-6B39B44E7FC5}"/>
    <hyperlink ref="M24" r:id="rId111" display="https://www.dataroma.com/m/stock.php?sym=ALLY" xr:uid="{E7DF24BD-67AE-C64B-A3E9-86B1027ABA1B}"/>
    <hyperlink ref="M25" r:id="rId112" display="https://www.dataroma.com/m/stock.php?sym=NU" xr:uid="{B2EB026F-AD4E-BC41-A73F-E8D6456958CA}"/>
    <hyperlink ref="M26" r:id="rId113" display="https://www.dataroma.com/m/stock.php?sym=TMUS" xr:uid="{CD719C4B-C028-EB47-A17B-D01679277014}"/>
    <hyperlink ref="M27" r:id="rId114" display="https://www.dataroma.com/m/stock.php?sym=DHI" xr:uid="{5D8B8B10-A0EF-604D-9F78-DF655849AC5D}"/>
    <hyperlink ref="M28" r:id="rId115" display="https://www.dataroma.com/m/stock.php?sym=LSXMA" xr:uid="{A9BA29E5-A263-0A42-9620-3ED8A75D8F35}"/>
    <hyperlink ref="M29" r:id="rId116" display="https://www.dataroma.com/m/stock.php?sym=FWONK" xr:uid="{C88516C8-D8A4-9B4E-9090-0A17677EEB06}"/>
    <hyperlink ref="M30" r:id="rId117" display="https://www.dataroma.com/m/stock.php?sym=FND" xr:uid="{8BBE5B28-67F9-0B4F-9CA2-8A6199366FCC}"/>
    <hyperlink ref="M31" r:id="rId118" display="https://www.dataroma.com/m/stock.php?sym=LPX" xr:uid="{8F657F33-42F8-304C-AA7F-F3C3E708355F}"/>
    <hyperlink ref="M32" r:id="rId119" display="https://www.dataroma.com/m/stock.php?sym=LLYVK" xr:uid="{151E9BDD-4C87-A043-8469-E57AF89F2210}"/>
    <hyperlink ref="M33" r:id="rId120" display="https://www.dataroma.com/m/stock.php?sym=MKL" xr:uid="{8D625DDE-AA72-834E-843C-7DC4A9A3CFBD}"/>
    <hyperlink ref="M34" r:id="rId121" display="https://www.dataroma.com/m/stock.php?sym=LLYVA" xr:uid="{9091F235-1484-B649-91DC-82580291EE63}"/>
    <hyperlink ref="M35" r:id="rId122" display="https://www.dataroma.com/m/stock.php?sym=STNE" xr:uid="{44ADF436-FCB7-4F46-8648-B79879F89412}"/>
    <hyperlink ref="M36" r:id="rId123" display="https://www.dataroma.com/m/stock.php?sym=GL" xr:uid="{0D4B7547-8CCB-B54E-BAE3-4B26E9E39471}"/>
    <hyperlink ref="M37" r:id="rId124" display="https://www.dataroma.com/m/stock.php?sym=NVR" xr:uid="{72BBA4EC-5161-9B4B-9573-1B2F1D436E5A}"/>
    <hyperlink ref="M38" r:id="rId125" display="https://www.dataroma.com/m/stock.php?sym=DEO" xr:uid="{57249694-B9FA-0E41-931D-975E7052D2FB}"/>
    <hyperlink ref="M39" r:id="rId126" display="https://www.dataroma.com/m/stock.php?sym=JEF" xr:uid="{55266326-E150-F248-B954-FA3F2E6393BC}"/>
    <hyperlink ref="M40" r:id="rId127" display="https://www.dataroma.com/m/stock.php?sym=LILA" xr:uid="{1F687BE4-59FE-E94A-A927-AD4E65C46BCA}"/>
    <hyperlink ref="M41" r:id="rId128" display="https://www.dataroma.com/m/stock.php?sym=SIRI" xr:uid="{72CC99E5-3E90-A447-99B3-40CC9F2AEF16}"/>
    <hyperlink ref="M42" r:id="rId129" display="https://www.dataroma.com/m/stock.php?sym=SPY" xr:uid="{0CD87373-0C2A-B34C-9F4A-3A6A4E9B2A0C}"/>
    <hyperlink ref="M43" r:id="rId130" display="https://www.dataroma.com/m/stock.php?sym=VOO" xr:uid="{A2C04218-08F1-B54E-BB38-C29E1949E276}"/>
    <hyperlink ref="M44" r:id="rId131" display="https://www.dataroma.com/m/stock.php?sym=BATRK" xr:uid="{55069025-79F1-DA40-AFA1-3A291DAE0A5B}"/>
    <hyperlink ref="M45" r:id="rId132" display="https://www.dataroma.com/m/stock.php?sym=LEN.B" xr:uid="{77CC124C-4476-8849-86A6-19275CBB4805}"/>
    <hyperlink ref="M46" r:id="rId133" display="https://www.dataroma.com/m/stock.php?sym=LILAK" xr:uid="{ABBB21F8-68C6-F143-9CD1-C4BAAC9E5EC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30</vt:i4>
      </vt:variant>
    </vt:vector>
  </HeadingPairs>
  <TitlesOfParts>
    <vt:vector size="30" baseType="lpstr">
      <vt:lpstr>Foglio21</vt:lpstr>
      <vt:lpstr>Foglio22</vt:lpstr>
      <vt:lpstr>Foglio1</vt:lpstr>
      <vt:lpstr>Foglio20</vt:lpstr>
      <vt:lpstr>Foglio19</vt:lpstr>
      <vt:lpstr>Foglio18</vt:lpstr>
      <vt:lpstr>Foglio15</vt:lpstr>
      <vt:lpstr>Foglio17</vt:lpstr>
      <vt:lpstr>Foglio14</vt:lpstr>
      <vt:lpstr>Foglio16</vt:lpstr>
      <vt:lpstr>Foglio11</vt:lpstr>
      <vt:lpstr>Foglio13</vt:lpstr>
      <vt:lpstr>Foglio10</vt:lpstr>
      <vt:lpstr>Foglio12</vt:lpstr>
      <vt:lpstr>Foglio6</vt:lpstr>
      <vt:lpstr>Foglio9</vt:lpstr>
      <vt:lpstr>Foglio8</vt:lpstr>
      <vt:lpstr>Foglio3</vt:lpstr>
      <vt:lpstr>Foglio5</vt:lpstr>
      <vt:lpstr>Foglio4</vt:lpstr>
      <vt:lpstr>ANALISI PORTAFOGLI</vt:lpstr>
      <vt:lpstr>NASDAQ100</vt:lpstr>
      <vt:lpstr>ETF ANDREA</vt:lpstr>
      <vt:lpstr>ETF VARI</vt:lpstr>
      <vt:lpstr>CRIPTO</vt:lpstr>
      <vt:lpstr>ELENCO NASDAQ E SETTORI</vt:lpstr>
      <vt:lpstr>portafogli</vt:lpstr>
      <vt:lpstr>Sheet1</vt:lpstr>
      <vt:lpstr>Foglio2</vt:lpstr>
      <vt:lpstr>Foglio7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</cp:lastModifiedBy>
  <dcterms:created xsi:type="dcterms:W3CDTF">2022-08-15T09:00:00Z</dcterms:created>
  <dcterms:modified xsi:type="dcterms:W3CDTF">2026-05-01T08:48:13Z</dcterms:modified>
</cp:coreProperties>
</file>